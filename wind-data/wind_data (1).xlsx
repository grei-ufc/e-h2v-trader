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0B2E754-C9DC-4A07-AAB1-48A4BDAB2CD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lanilha1" sheetId="1" r:id="rId1"/>
    <sheet name="Plot" sheetId="2" r:id="rId2"/>
    <sheet name="Usinas Eolicas" sheetId="3" r:id="rId3"/>
  </sheets>
  <definedNames>
    <definedName name="_xlnm._FilterDatabase" localSheetId="0" hidden="1">Planilha1!$A$1:$K$97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4" i="1" l="1"/>
  <c r="B90" i="1"/>
  <c r="B86" i="1"/>
  <c r="B87" i="1" s="1"/>
  <c r="B88" i="1" s="1"/>
  <c r="B89" i="1" s="1"/>
  <c r="B82" i="1"/>
  <c r="B78" i="1"/>
  <c r="B74" i="1"/>
  <c r="B70" i="1"/>
  <c r="B66" i="1"/>
  <c r="B62" i="1"/>
  <c r="B58" i="1"/>
  <c r="B54" i="1"/>
  <c r="B50" i="1"/>
  <c r="B46" i="1"/>
  <c r="B42" i="1"/>
  <c r="B38" i="1"/>
  <c r="B34" i="1"/>
  <c r="B30" i="1"/>
  <c r="B26" i="1"/>
  <c r="B22" i="1"/>
  <c r="B23" i="1" s="1"/>
  <c r="B24" i="1" s="1"/>
  <c r="B25" i="1" s="1"/>
  <c r="B18" i="1"/>
  <c r="B14" i="1"/>
  <c r="B10" i="1"/>
  <c r="B6" i="1"/>
  <c r="B2" i="1"/>
  <c r="B3" i="1" s="1"/>
  <c r="B27" i="1" l="1"/>
  <c r="B43" i="1"/>
  <c r="B63" i="1"/>
  <c r="B64" i="1" s="1"/>
  <c r="B65" i="1" s="1"/>
  <c r="B91" i="1"/>
  <c r="B92" i="1" s="1"/>
  <c r="B93" i="1" s="1"/>
  <c r="B31" i="1"/>
  <c r="B32" i="1" s="1"/>
  <c r="B33" i="1" s="1"/>
  <c r="B95" i="1"/>
  <c r="B96" i="1" s="1"/>
  <c r="B97" i="1" s="1"/>
  <c r="B83" i="1"/>
  <c r="B84" i="1" s="1"/>
  <c r="B85" i="1" s="1"/>
  <c r="B79" i="1"/>
  <c r="B80" i="1" s="1"/>
  <c r="B81" i="1" s="1"/>
  <c r="B75" i="1"/>
  <c r="B76" i="1" s="1"/>
  <c r="B77" i="1" s="1"/>
  <c r="B71" i="1"/>
  <c r="B72" i="1" s="1"/>
  <c r="B73" i="1" s="1"/>
  <c r="B67" i="1"/>
  <c r="B59" i="1"/>
  <c r="B55" i="1"/>
  <c r="B56" i="1" s="1"/>
  <c r="B57" i="1" s="1"/>
  <c r="B51" i="1"/>
  <c r="B47" i="1"/>
  <c r="B48" i="1" s="1"/>
  <c r="B49" i="1" s="1"/>
  <c r="B39" i="1"/>
  <c r="B40" i="1" s="1"/>
  <c r="B41" i="1" s="1"/>
  <c r="B35" i="1"/>
  <c r="B19" i="1"/>
  <c r="B15" i="1"/>
  <c r="B16" i="1" s="1"/>
  <c r="B17" i="1" s="1"/>
  <c r="B11" i="1"/>
  <c r="B7" i="1"/>
  <c r="B8" i="1" s="1"/>
  <c r="B9" i="1" s="1"/>
  <c r="B4" i="1"/>
  <c r="B5" i="1" s="1"/>
  <c r="B68" i="1" l="1"/>
  <c r="B69" i="1" s="1"/>
  <c r="B60" i="1"/>
  <c r="B61" i="1" s="1"/>
  <c r="B52" i="1"/>
  <c r="B53" i="1" s="1"/>
  <c r="B44" i="1"/>
  <c r="B45" i="1" s="1"/>
  <c r="B36" i="1"/>
  <c r="B37" i="1" s="1"/>
  <c r="B28" i="1"/>
  <c r="B29" i="1" s="1"/>
  <c r="B20" i="1"/>
  <c r="B21" i="1" s="1"/>
  <c r="B12" i="1"/>
  <c r="B13" i="1" s="1"/>
</calcChain>
</file>

<file path=xl/sharedStrings.xml><?xml version="1.0" encoding="utf-8"?>
<sst xmlns="http://schemas.openxmlformats.org/spreadsheetml/2006/main" count="187" uniqueCount="35">
  <si>
    <t>Time</t>
  </si>
  <si>
    <t>pwind</t>
  </si>
  <si>
    <t>2:00</t>
  </si>
  <si>
    <t>4:00</t>
  </si>
  <si>
    <t>5:00</t>
  </si>
  <si>
    <t>6:00</t>
  </si>
  <si>
    <t>7:00</t>
  </si>
  <si>
    <t>8:00</t>
  </si>
  <si>
    <t>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</si>
  <si>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</si>
  <si>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</si>
  <si>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</si>
  <si>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</si>
  <si>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</si>
  <si>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</si>
  <si>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</si>
  <si>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</si>
  <si>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</si>
  <si>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</si>
  <si>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</si>
  <si>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</si>
  <si>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</si>
  <si>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0:00</t>
  </si>
  <si>
    <t>1:00</t>
  </si>
  <si>
    <t>3:00</t>
  </si>
  <si>
    <t>23:00</t>
  </si>
  <si>
    <t>Máximo</t>
  </si>
  <si>
    <t>Média</t>
  </si>
  <si>
    <t>Mínimo</t>
  </si>
  <si>
    <t>Beberibe</t>
  </si>
  <si>
    <t>Boca do Córrego</t>
  </si>
  <si>
    <t>Cataventos do Acaraú I</t>
  </si>
  <si>
    <t>Colonia</t>
  </si>
  <si>
    <t>Embuaca</t>
  </si>
  <si>
    <t xml:space="preserve">Embuaça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</si>
</sst>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4" fontId="2" fillId="0" borderId="0" xfId="0" applyNumberFormat="1" applyFont="1" applyAlignment="1">
      <alignment vertical="center"/>
    </xf>
    <xf numFmtId="4" fontId="0" fillId="0" borderId="0" xfId="0" applyNumberFormat="1"/>
    <xf numFmtId="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>
      <selection activeCell="B2" sqref="B2"/>
    </sheetView>
  </sheetViews>
  <sheetFormatPr defaultRowHeight="15" x14ac:dyDescent="0.25"/>
  <cols>
    <col min="1" max="1" width="9.140625" style="4"/>
    <col min="2" max="2" width="15.7109375" style="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0.95833333333333337</v>
      </c>
      <c r="B2" s="10">
        <f>Plot!B3</f>
        <v>24.228000000000002</v>
      </c>
    </row>
    <row r="3" spans="1:2" x14ac:dyDescent="0.25">
      <c r="A3" s="3">
        <v>0.96875</v>
      </c>
      <c r="B3" s="4">
        <f>B2+(($B$6-B2)/($A$6-A2)*(A2-A3))</f>
        <v>24.230576086956525</v>
      </c>
    </row>
    <row r="4" spans="1:2" x14ac:dyDescent="0.25">
      <c r="A4" s="3">
        <v>0.97916666666666663</v>
      </c>
      <c r="B4" s="4">
        <f t="shared" ref="B4" si="0">B3+(($B$6-B3)/($A$6-A3)*(A3-A4))</f>
        <v>24.233096774193552</v>
      </c>
    </row>
    <row r="5" spans="1:2" x14ac:dyDescent="0.25">
      <c r="A5" s="3">
        <v>0.98958333333333337</v>
      </c>
      <c r="B5" s="4">
        <f>B4+(($B$6-B4)/($A$6-A4)*(A4-A5))</f>
        <v>24.235563829787239</v>
      </c>
    </row>
    <row r="6" spans="1:2" x14ac:dyDescent="0.25">
      <c r="A6" s="2">
        <v>0</v>
      </c>
      <c r="B6" s="10">
        <f>Plot!C3</f>
        <v>24.465</v>
      </c>
    </row>
    <row r="7" spans="1:2" x14ac:dyDescent="0.25">
      <c r="A7" s="3">
        <v>1.0416666666666666E-2</v>
      </c>
      <c r="B7" s="4">
        <f>B6+(($B$10-B6)/($A$10-A6)*(A7-A6))</f>
        <v>24.390250000000002</v>
      </c>
    </row>
    <row r="8" spans="1:2" x14ac:dyDescent="0.25">
      <c r="A8" s="3">
        <v>2.0833333333333332E-2</v>
      </c>
      <c r="B8" s="4">
        <f>B7+(($B$10-B7)/($A$10-A7)*(A8-A7))</f>
        <v>24.3155</v>
      </c>
    </row>
    <row r="9" spans="1:2" x14ac:dyDescent="0.25">
      <c r="A9" s="3">
        <v>3.125E-2</v>
      </c>
      <c r="B9" s="4">
        <f>B8+(($B$10-B8)/($A$10-A8)*(A9-A8))</f>
        <v>24.240749999999998</v>
      </c>
    </row>
    <row r="10" spans="1:2" x14ac:dyDescent="0.25">
      <c r="A10" s="2">
        <v>4.1666666666666664E-2</v>
      </c>
      <c r="B10" s="10">
        <f>Plot!D3</f>
        <v>24.166</v>
      </c>
    </row>
    <row r="11" spans="1:2" x14ac:dyDescent="0.25">
      <c r="A11" s="3">
        <v>5.2083333333333336E-2</v>
      </c>
      <c r="B11" s="4">
        <f>B10+((B10-$B$14)/(A10-$A$14))*(A11-A10)</f>
        <v>24.18375</v>
      </c>
    </row>
    <row r="12" spans="1:2" x14ac:dyDescent="0.25">
      <c r="A12" s="3">
        <v>6.25E-2</v>
      </c>
      <c r="B12" s="4">
        <f t="shared" ref="B12:B13" si="1">B11+((B11-$B$14)/(A11-$A$14))*(A12-A11)</f>
        <v>24.201499999999999</v>
      </c>
    </row>
    <row r="13" spans="1:2" x14ac:dyDescent="0.25">
      <c r="A13" s="3">
        <v>7.2916666666666671E-2</v>
      </c>
      <c r="B13" s="4">
        <f t="shared" si="1"/>
        <v>24.219249999999999</v>
      </c>
    </row>
    <row r="14" spans="1:2" x14ac:dyDescent="0.25">
      <c r="A14" s="2" t="s">
        <v>2</v>
      </c>
      <c r="B14" s="10">
        <f>Plot!E3</f>
        <v>24.236999999999998</v>
      </c>
    </row>
    <row r="15" spans="1:2" x14ac:dyDescent="0.25">
      <c r="A15" s="3">
        <v>9.375E-2</v>
      </c>
      <c r="B15" s="4">
        <f>B14+((B14-$B$18)/(A14-$A$18))*(A15-A14)</f>
        <v>24.219249999999999</v>
      </c>
    </row>
    <row r="16" spans="1:2" x14ac:dyDescent="0.25">
      <c r="A16" s="3">
        <v>0.10416666666666667</v>
      </c>
      <c r="B16" s="4">
        <f>B15+((B15-$B$18)/(A15-$A$18))*(A16-A15)</f>
        <v>24.201499999999999</v>
      </c>
    </row>
    <row r="17" spans="1:11" x14ac:dyDescent="0.25">
      <c r="A17" s="3">
        <v>0.11458333333333333</v>
      </c>
      <c r="B17" s="4">
        <f>B16+((B16-$B$18)/(A16-$A$18))*(A17-A16)</f>
        <v>24.18375</v>
      </c>
    </row>
    <row r="18" spans="1:11" x14ac:dyDescent="0.25">
      <c r="A18" s="2">
        <v>0.125</v>
      </c>
      <c r="B18" s="10">
        <f>Plot!F3</f>
        <v>24.166</v>
      </c>
      <c r="K18" s="5"/>
    </row>
    <row r="19" spans="1:11" x14ac:dyDescent="0.25">
      <c r="A19" s="3">
        <v>0.13541666666666666</v>
      </c>
      <c r="B19" s="4">
        <f>B18+((B18-$B$22)/(A18-$A$22))*(A19-A18)</f>
        <v>24.166</v>
      </c>
    </row>
    <row r="20" spans="1:11" x14ac:dyDescent="0.25">
      <c r="A20" s="3">
        <v>0.14583333333333331</v>
      </c>
      <c r="B20" s="4">
        <f t="shared" ref="B20:B21" si="2">B19+((B19-$B$22)/(A19-$A$22))*(A20-A19)</f>
        <v>24.166</v>
      </c>
    </row>
    <row r="21" spans="1:11" x14ac:dyDescent="0.25">
      <c r="A21" s="3">
        <v>0.15624999999999997</v>
      </c>
      <c r="B21" s="4">
        <f t="shared" si="2"/>
        <v>24.166</v>
      </c>
    </row>
    <row r="22" spans="1:11" x14ac:dyDescent="0.25">
      <c r="A22" s="2" t="s">
        <v>3</v>
      </c>
      <c r="B22" s="10">
        <f>Plot!G3</f>
        <v>24.166</v>
      </c>
    </row>
    <row r="23" spans="1:11" x14ac:dyDescent="0.25">
      <c r="A23" s="3">
        <v>0.17708333333333331</v>
      </c>
      <c r="B23" s="4">
        <f>B22+((B22-$B$26)/(A22-$A$26))*(A23-A22)</f>
        <v>24.166</v>
      </c>
    </row>
    <row r="24" spans="1:11" x14ac:dyDescent="0.25">
      <c r="A24" s="3">
        <v>0.18749999999999997</v>
      </c>
      <c r="B24" s="4">
        <f t="shared" ref="B24:B25" si="3">B23+((B23-$B$26)/(A23-$A$26))*(A24-A23)</f>
        <v>24.166</v>
      </c>
    </row>
    <row r="25" spans="1:11" x14ac:dyDescent="0.25">
      <c r="A25" s="3">
        <v>0.19791666666666663</v>
      </c>
      <c r="B25" s="4">
        <f t="shared" si="3"/>
        <v>24.166</v>
      </c>
    </row>
    <row r="26" spans="1:11" x14ac:dyDescent="0.25">
      <c r="A26" s="2" t="s">
        <v>4</v>
      </c>
      <c r="B26" s="10">
        <f>Plot!H3</f>
        <v>24.166</v>
      </c>
    </row>
    <row r="27" spans="1:11" x14ac:dyDescent="0.25">
      <c r="A27" s="3">
        <v>0.21875</v>
      </c>
      <c r="B27" s="4">
        <f>B26+((B26-$B$30)/(A26-$A$30))*(A27-A26)</f>
        <v>24.166</v>
      </c>
    </row>
    <row r="28" spans="1:11" x14ac:dyDescent="0.25">
      <c r="A28" s="3">
        <v>0.22916666666666666</v>
      </c>
      <c r="B28" s="4">
        <f t="shared" ref="B28:B29" si="4">B27+((B27-$B$30)/(A27-$A$30))*(A28-A27)</f>
        <v>24.166</v>
      </c>
    </row>
    <row r="29" spans="1:11" x14ac:dyDescent="0.25">
      <c r="A29" s="3">
        <v>0.23958333333333331</v>
      </c>
      <c r="B29" s="4">
        <f t="shared" si="4"/>
        <v>24.166</v>
      </c>
    </row>
    <row r="30" spans="1:11" x14ac:dyDescent="0.25">
      <c r="A30" s="2" t="s">
        <v>5</v>
      </c>
      <c r="B30" s="10">
        <f>Plot!I3</f>
        <v>24.166</v>
      </c>
    </row>
    <row r="31" spans="1:11" x14ac:dyDescent="0.25">
      <c r="A31" s="3">
        <v>0.26041666666666669</v>
      </c>
      <c r="B31" s="4">
        <f>B30+((B30-$B$34)/(A30-$A$34))*(A31-A30)</f>
        <v>24.1785</v>
      </c>
    </row>
    <row r="32" spans="1:11" x14ac:dyDescent="0.25">
      <c r="A32" s="3">
        <v>0.27083333333333337</v>
      </c>
      <c r="B32" s="4">
        <f t="shared" ref="B32:B33" si="5">B31+((B31-$B$34)/(A31-$A$34))*(A32-A31)</f>
        <v>24.190999999999999</v>
      </c>
    </row>
    <row r="33" spans="1:2" x14ac:dyDescent="0.25">
      <c r="A33" s="3">
        <v>0.28125000000000006</v>
      </c>
      <c r="B33" s="4">
        <f t="shared" si="5"/>
        <v>24.203500000000002</v>
      </c>
    </row>
    <row r="34" spans="1:2" x14ac:dyDescent="0.25">
      <c r="A34" s="2" t="s">
        <v>6</v>
      </c>
      <c r="B34" s="10">
        <f>Plot!J3</f>
        <v>24.216000000000001</v>
      </c>
    </row>
    <row r="35" spans="1:2" x14ac:dyDescent="0.25">
      <c r="A35" s="3">
        <v>0.30208333333333337</v>
      </c>
      <c r="B35" s="4">
        <f>B34+((B34-$B$38)/(A34-$A$38))*(A35-A34)</f>
        <v>24.244500000000002</v>
      </c>
    </row>
    <row r="36" spans="1:2" x14ac:dyDescent="0.25">
      <c r="A36" s="3">
        <v>0.31250000000000006</v>
      </c>
      <c r="B36" s="4">
        <f t="shared" ref="B36:B37" si="6">B35+((B35-$B$38)/(A35-$A$38))*(A36-A35)</f>
        <v>24.273</v>
      </c>
    </row>
    <row r="37" spans="1:2" x14ac:dyDescent="0.25">
      <c r="A37" s="3">
        <v>0.32291666666666674</v>
      </c>
      <c r="B37" s="4">
        <f t="shared" si="6"/>
        <v>24.301500000000001</v>
      </c>
    </row>
    <row r="38" spans="1:2" x14ac:dyDescent="0.25">
      <c r="A38" s="2" t="s">
        <v>7</v>
      </c>
      <c r="B38" s="10">
        <f>Plot!K3</f>
        <v>24.33</v>
      </c>
    </row>
    <row r="39" spans="1:2" x14ac:dyDescent="0.25">
      <c r="A39" s="3">
        <v>0.34375</v>
      </c>
      <c r="B39" s="4">
        <f>B38+((B38-$B$42)/(A38-$A$42))*(A39-A38)</f>
        <v>24.426749999999998</v>
      </c>
    </row>
    <row r="40" spans="1:2" x14ac:dyDescent="0.25">
      <c r="A40" s="3">
        <v>0.35416666666666669</v>
      </c>
      <c r="B40" s="4">
        <f t="shared" ref="B40:B41" si="7">B39+((B39-$B$42)/(A39-$A$42))*(A40-A39)</f>
        <v>24.523499999999999</v>
      </c>
    </row>
    <row r="41" spans="1:2" x14ac:dyDescent="0.25">
      <c r="A41" s="3">
        <v>0.36458333333333337</v>
      </c>
      <c r="B41" s="4">
        <f t="shared" si="7"/>
        <v>24.620249999999999</v>
      </c>
    </row>
    <row r="42" spans="1:2" x14ac:dyDescent="0.25">
      <c r="A42" s="2" t="s">
        <v>8</v>
      </c>
      <c r="B42" s="10">
        <f>Plot!L3</f>
        <v>24.716999999999999</v>
      </c>
    </row>
    <row r="43" spans="1:2" x14ac:dyDescent="0.25">
      <c r="A43" s="3">
        <v>0.38541666666666669</v>
      </c>
      <c r="B43" s="4">
        <f>B42+((B42-$B$46)/(A42-$A$46))*(A43-A42)</f>
        <v>24.797000000000001</v>
      </c>
    </row>
    <row r="44" spans="1:2" x14ac:dyDescent="0.25">
      <c r="A44" s="3">
        <v>0.39583333333333337</v>
      </c>
      <c r="B44" s="4">
        <f t="shared" ref="B44:B45" si="8">B43+((B43-$B$46)/(A43-$A$46))*(A44-A43)</f>
        <v>24.876999999999999</v>
      </c>
    </row>
    <row r="45" spans="1:2" x14ac:dyDescent="0.25">
      <c r="A45" s="3">
        <v>0.40625000000000006</v>
      </c>
      <c r="B45" s="4">
        <f t="shared" si="8"/>
        <v>24.957000000000001</v>
      </c>
    </row>
    <row r="46" spans="1:2" x14ac:dyDescent="0.25">
      <c r="A46" s="2" t="s">
        <v>9</v>
      </c>
      <c r="B46" s="10">
        <f>Plot!M3</f>
        <v>25.036999999999999</v>
      </c>
    </row>
    <row r="47" spans="1:2" x14ac:dyDescent="0.25">
      <c r="A47" s="3">
        <v>0.42708333333333337</v>
      </c>
      <c r="B47" s="4">
        <f>B46+((B46-$B$50)/(A46-$A$50))*(A47-A46)</f>
        <v>25.02525</v>
      </c>
    </row>
    <row r="48" spans="1:2" x14ac:dyDescent="0.25">
      <c r="A48" s="3">
        <v>0.43750000000000006</v>
      </c>
      <c r="B48" s="4">
        <f t="shared" ref="B48:B49" si="9">B47+((B47-$B$50)/(A47-$A$50))*(A48-A47)</f>
        <v>25.013500000000001</v>
      </c>
    </row>
    <row r="49" spans="1:2" x14ac:dyDescent="0.25">
      <c r="A49" s="3">
        <v>0.44791666666666674</v>
      </c>
      <c r="B49" s="4">
        <f t="shared" si="9"/>
        <v>25.001749999999998</v>
      </c>
    </row>
    <row r="50" spans="1:2" x14ac:dyDescent="0.25">
      <c r="A50" s="2" t="s">
        <v>10</v>
      </c>
      <c r="B50" s="10">
        <f>Plot!N3</f>
        <v>24.99</v>
      </c>
    </row>
    <row r="51" spans="1:2" x14ac:dyDescent="0.25">
      <c r="A51" s="3">
        <v>0.46875</v>
      </c>
      <c r="B51" s="4">
        <f>B50+((B50-$B$54)/(A50-$A$54))*(A51-A50)</f>
        <v>25.417999999999999</v>
      </c>
    </row>
    <row r="52" spans="1:2" x14ac:dyDescent="0.25">
      <c r="A52" s="3">
        <v>0.47916666666666669</v>
      </c>
      <c r="B52" s="4">
        <f t="shared" ref="B52:B53" si="10">B51+((B51-$B$54)/(A51-$A$54))*(A52-A51)</f>
        <v>25.846</v>
      </c>
    </row>
    <row r="53" spans="1:2" x14ac:dyDescent="0.25">
      <c r="A53" s="3">
        <v>0.48958333333333337</v>
      </c>
      <c r="B53" s="4">
        <f t="shared" si="10"/>
        <v>26.274000000000001</v>
      </c>
    </row>
    <row r="54" spans="1:2" x14ac:dyDescent="0.25">
      <c r="A54" s="2" t="s">
        <v>11</v>
      </c>
      <c r="B54" s="10">
        <f>Plot!O3</f>
        <v>26.702000000000002</v>
      </c>
    </row>
    <row r="55" spans="1:2" x14ac:dyDescent="0.25">
      <c r="A55" s="3">
        <v>0.51041666666666663</v>
      </c>
      <c r="B55" s="4">
        <f>B54+((B54-$B$58)/(A54-$A$58))*(A55-A54)</f>
        <v>26.582000000000001</v>
      </c>
    </row>
    <row r="56" spans="1:2" x14ac:dyDescent="0.25">
      <c r="A56" s="3">
        <v>0.52083333333333326</v>
      </c>
      <c r="B56" s="4">
        <f t="shared" ref="B56:B57" si="11">B55+((B55-$B$58)/(A55-$A$58))*(A56-A55)</f>
        <v>26.462</v>
      </c>
    </row>
    <row r="57" spans="1:2" x14ac:dyDescent="0.25">
      <c r="A57" s="3">
        <v>0.53124999999999989</v>
      </c>
      <c r="B57" s="4">
        <f t="shared" si="11"/>
        <v>26.342000000000002</v>
      </c>
    </row>
    <row r="58" spans="1:2" x14ac:dyDescent="0.25">
      <c r="A58" s="2" t="s">
        <v>12</v>
      </c>
      <c r="B58" s="10">
        <f>Plot!P3</f>
        <v>26.222000000000001</v>
      </c>
    </row>
    <row r="59" spans="1:2" x14ac:dyDescent="0.25">
      <c r="A59" s="3">
        <v>0.55208333333333326</v>
      </c>
      <c r="B59" s="4">
        <f>B58+((B58-$B$62)/(A58-$A$62))*(A59-A58)</f>
        <v>26.395</v>
      </c>
    </row>
    <row r="60" spans="1:2" x14ac:dyDescent="0.25">
      <c r="A60" s="3">
        <v>0.56249999999999989</v>
      </c>
      <c r="B60" s="4">
        <f t="shared" ref="B60:B61" si="12">B59+((B59-$B$62)/(A59-$A$62))*(A60-A59)</f>
        <v>26.567999999999998</v>
      </c>
    </row>
    <row r="61" spans="1:2" x14ac:dyDescent="0.25">
      <c r="A61" s="3">
        <v>0.57291666666666652</v>
      </c>
      <c r="B61" s="4">
        <f t="shared" si="12"/>
        <v>26.740999999999996</v>
      </c>
    </row>
    <row r="62" spans="1:2" x14ac:dyDescent="0.25">
      <c r="A62" s="2" t="s">
        <v>13</v>
      </c>
      <c r="B62" s="10">
        <f>Plot!Q3</f>
        <v>26.914000000000001</v>
      </c>
    </row>
    <row r="63" spans="1:2" x14ac:dyDescent="0.25">
      <c r="A63" s="3">
        <v>0.59375</v>
      </c>
      <c r="B63" s="4">
        <f>B62+((B62-$B$66)/(A62-$A$66))*(A63-A62)</f>
        <v>26.9345</v>
      </c>
    </row>
    <row r="64" spans="1:2" x14ac:dyDescent="0.25">
      <c r="A64" s="3">
        <v>0.60416666666666663</v>
      </c>
      <c r="B64" s="4">
        <f t="shared" ref="B64:B65" si="13">B63+((B63-$B$66)/(A63-$A$66))*(A64-A63)</f>
        <v>26.954999999999998</v>
      </c>
    </row>
    <row r="65" spans="1:2" x14ac:dyDescent="0.25">
      <c r="A65" s="3">
        <v>0.61458333333333326</v>
      </c>
      <c r="B65" s="4">
        <f t="shared" si="13"/>
        <v>26.975499999999997</v>
      </c>
    </row>
    <row r="66" spans="1:2" x14ac:dyDescent="0.25">
      <c r="A66" s="2" t="s">
        <v>14</v>
      </c>
      <c r="B66" s="10">
        <f>Plot!R3</f>
        <v>26.995999999999999</v>
      </c>
    </row>
    <row r="67" spans="1:2" x14ac:dyDescent="0.25">
      <c r="A67" s="3">
        <v>0.63541666666666663</v>
      </c>
      <c r="B67" s="4">
        <f>B66+((B66-$B$70)/(A66-$A$70))*(A67-A66)</f>
        <v>26.873249999999999</v>
      </c>
    </row>
    <row r="68" spans="1:2" x14ac:dyDescent="0.25">
      <c r="A68" s="3">
        <v>0.64583333333333326</v>
      </c>
      <c r="B68" s="4">
        <f t="shared" ref="B68:B69" si="14">B67+((B67-$B$70)/(A67-$A$70))*(A68-A67)</f>
        <v>26.750499999999999</v>
      </c>
    </row>
    <row r="69" spans="1:2" x14ac:dyDescent="0.25">
      <c r="A69" s="3">
        <v>0.65624999999999989</v>
      </c>
      <c r="B69" s="4">
        <f t="shared" si="14"/>
        <v>26.627749999999999</v>
      </c>
    </row>
    <row r="70" spans="1:2" x14ac:dyDescent="0.25">
      <c r="A70" s="2" t="s">
        <v>15</v>
      </c>
      <c r="B70" s="10">
        <f>Plot!S3</f>
        <v>26.504999999999999</v>
      </c>
    </row>
    <row r="71" spans="1:2" x14ac:dyDescent="0.25">
      <c r="A71" s="3">
        <v>0.67708333333333326</v>
      </c>
      <c r="B71" s="4">
        <f>B70+((B70-$B$74)/(A70-$A$74))*(A71-A70)</f>
        <v>26.330500000000001</v>
      </c>
    </row>
    <row r="72" spans="1:2" x14ac:dyDescent="0.25">
      <c r="A72" s="3">
        <v>0.68749999999999989</v>
      </c>
      <c r="B72" s="4">
        <f t="shared" ref="B72:B73" si="15">B71+((B71-$B$74)/(A71-$A$74))*(A72-A71)</f>
        <v>26.156000000000002</v>
      </c>
    </row>
    <row r="73" spans="1:2" x14ac:dyDescent="0.25">
      <c r="A73" s="3">
        <v>0.69791666666666652</v>
      </c>
      <c r="B73" s="4">
        <f t="shared" si="15"/>
        <v>25.981500000000004</v>
      </c>
    </row>
    <row r="74" spans="1:2" x14ac:dyDescent="0.25">
      <c r="A74" s="2" t="s">
        <v>16</v>
      </c>
      <c r="B74" s="10">
        <f>Plot!T3</f>
        <v>25.806999999999999</v>
      </c>
    </row>
    <row r="75" spans="1:2" x14ac:dyDescent="0.25">
      <c r="A75" s="3">
        <v>0.71875</v>
      </c>
      <c r="B75" s="4">
        <f>B74+((B74-$B$78)/(A74-$A$78))*(A75-A74)</f>
        <v>25.469000000000001</v>
      </c>
    </row>
    <row r="76" spans="1:2" x14ac:dyDescent="0.25">
      <c r="A76" s="3">
        <v>0.72916666666666663</v>
      </c>
      <c r="B76" s="4">
        <f t="shared" ref="B76:B77" si="16">B75+((B75-$B$78)/(A75-$A$78))*(A76-A75)</f>
        <v>25.131</v>
      </c>
    </row>
    <row r="77" spans="1:2" x14ac:dyDescent="0.25">
      <c r="A77" s="3">
        <v>0.73958333333333326</v>
      </c>
      <c r="B77" s="4">
        <f t="shared" si="16"/>
        <v>24.792999999999999</v>
      </c>
    </row>
    <row r="78" spans="1:2" x14ac:dyDescent="0.25">
      <c r="A78" s="2" t="s">
        <v>17</v>
      </c>
      <c r="B78" s="10">
        <f>Plot!U3</f>
        <v>24.454999999999998</v>
      </c>
    </row>
    <row r="79" spans="1:2" x14ac:dyDescent="0.25">
      <c r="A79" s="3">
        <v>0.76041666666666663</v>
      </c>
      <c r="B79" s="4">
        <f>B78+((B78-$B$82)/(A78-$A$82))*(A79-A78)</f>
        <v>24.674999999999997</v>
      </c>
    </row>
    <row r="80" spans="1:2" x14ac:dyDescent="0.25">
      <c r="A80" s="3">
        <v>0.77083333333333326</v>
      </c>
      <c r="B80" s="4">
        <f t="shared" ref="B80:B81" si="17">B79+((B79-$B$82)/(A79-$A$82))*(A80-A79)</f>
        <v>24.894999999999996</v>
      </c>
    </row>
    <row r="81" spans="1:2" x14ac:dyDescent="0.25">
      <c r="A81" s="3">
        <v>0.78124999999999989</v>
      </c>
      <c r="B81" s="4">
        <f t="shared" si="17"/>
        <v>25.114999999999998</v>
      </c>
    </row>
    <row r="82" spans="1:2" x14ac:dyDescent="0.25">
      <c r="A82" s="2" t="s">
        <v>18</v>
      </c>
      <c r="B82" s="10">
        <f>Plot!V3</f>
        <v>25.335000000000001</v>
      </c>
    </row>
    <row r="83" spans="1:2" x14ac:dyDescent="0.25">
      <c r="A83" s="3">
        <v>0.80208333333333326</v>
      </c>
      <c r="B83" s="4">
        <f>B82+((B82-$B$86)/(A82-$A$86))*(A83-A82)</f>
        <v>25.076250000000002</v>
      </c>
    </row>
    <row r="84" spans="1:2" x14ac:dyDescent="0.25">
      <c r="A84" s="3">
        <v>0.81249999999999989</v>
      </c>
      <c r="B84" s="4">
        <f t="shared" ref="B84:B85" si="18">B83+((B83-$B$86)/(A83-$A$86))*(A84-A83)</f>
        <v>24.817500000000003</v>
      </c>
    </row>
    <row r="85" spans="1:2" x14ac:dyDescent="0.25">
      <c r="A85" s="3">
        <v>0.82291666666666652</v>
      </c>
      <c r="B85" s="4">
        <f t="shared" si="18"/>
        <v>24.558750000000003</v>
      </c>
    </row>
    <row r="86" spans="1:2" x14ac:dyDescent="0.25">
      <c r="A86" s="2" t="s">
        <v>19</v>
      </c>
      <c r="B86" s="10">
        <f>Plot!W3</f>
        <v>24.3</v>
      </c>
    </row>
    <row r="87" spans="1:2" x14ac:dyDescent="0.25">
      <c r="A87" s="3">
        <v>0.84375</v>
      </c>
      <c r="B87" s="4">
        <f>B86+((B86-$B$90)/(A86-$A$90))*(A87-A86)</f>
        <v>24.60425</v>
      </c>
    </row>
    <row r="88" spans="1:2" x14ac:dyDescent="0.25">
      <c r="A88" s="3">
        <v>0.85416666666666663</v>
      </c>
      <c r="B88" s="4">
        <f t="shared" ref="B88:B89" si="19">B87+((B87-$B$90)/(A87-$A$90))*(A88-A87)</f>
        <v>24.9085</v>
      </c>
    </row>
    <row r="89" spans="1:2" x14ac:dyDescent="0.25">
      <c r="A89" s="3">
        <v>0.86458333333333326</v>
      </c>
      <c r="B89" s="4">
        <f t="shared" si="19"/>
        <v>25.21275</v>
      </c>
    </row>
    <row r="90" spans="1:2" x14ac:dyDescent="0.25">
      <c r="A90" s="2" t="s">
        <v>20</v>
      </c>
      <c r="B90" s="10">
        <f>Plot!X3</f>
        <v>25.516999999999999</v>
      </c>
    </row>
    <row r="91" spans="1:2" x14ac:dyDescent="0.25">
      <c r="A91" s="3">
        <v>0.88541666666666663</v>
      </c>
      <c r="B91" s="4">
        <f>B90+((B90-$B$94)/(A90-$A$94))*(A91-A90)</f>
        <v>25.17925</v>
      </c>
    </row>
    <row r="92" spans="1:2" x14ac:dyDescent="0.25">
      <c r="A92" s="3">
        <v>0.89583333333333326</v>
      </c>
      <c r="B92" s="4">
        <f t="shared" ref="B92:B93" si="20">B91+((B91-$B$94)/(A91-$A$94))*(A92-A91)</f>
        <v>24.8415</v>
      </c>
    </row>
    <row r="93" spans="1:2" x14ac:dyDescent="0.25">
      <c r="A93" s="3">
        <v>0.90624999999999989</v>
      </c>
      <c r="B93" s="4">
        <f t="shared" si="20"/>
        <v>24.503750000000004</v>
      </c>
    </row>
    <row r="94" spans="1:2" x14ac:dyDescent="0.25">
      <c r="A94" s="2" t="s">
        <v>21</v>
      </c>
      <c r="B94" s="10">
        <f>Plot!Y3</f>
        <v>24.166</v>
      </c>
    </row>
    <row r="95" spans="1:2" x14ac:dyDescent="0.25">
      <c r="A95" s="3">
        <v>0.92708333333333326</v>
      </c>
      <c r="B95" s="4">
        <f>B94+((B94-$B$2)/(A94-$A$2))*(A95-A94)</f>
        <v>24.1815</v>
      </c>
    </row>
    <row r="96" spans="1:2" x14ac:dyDescent="0.25">
      <c r="A96" s="3">
        <v>0.93749999999999989</v>
      </c>
      <c r="B96" s="4">
        <f t="shared" ref="B96:B97" si="21">B95+((B95-$B$2)/(A95-$A$2))*(A96-A95)</f>
        <v>24.196999999999999</v>
      </c>
    </row>
    <row r="97" spans="1:2" x14ac:dyDescent="0.25">
      <c r="A97" s="3">
        <v>0.94791666666666652</v>
      </c>
      <c r="B97" s="4">
        <f t="shared" si="21"/>
        <v>24.212499999999999</v>
      </c>
    </row>
    <row r="98" spans="1:2" x14ac:dyDescent="0.25">
      <c r="A98" s="3"/>
    </row>
    <row r="99" spans="1:2" x14ac:dyDescent="0.25">
      <c r="A99" s="3"/>
    </row>
    <row r="100" spans="1:2" x14ac:dyDescent="0.25">
      <c r="A100" s="3"/>
    </row>
  </sheetData>
  <autoFilter ref="A1:K9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C4EE-D3A2-4920-89E4-A384C7E575F9}">
  <dimension ref="A2:Z30"/>
  <sheetViews>
    <sheetView tabSelected="1" workbookViewId="0">
      <selection activeCell="H11" sqref="H11"/>
    </sheetView>
  </sheetViews>
  <sheetFormatPr defaultRowHeight="15" x14ac:dyDescent="0.25"/>
  <sheetData>
    <row r="2" spans="1:26" x14ac:dyDescent="0.25">
      <c r="B2" s="6" t="s">
        <v>25</v>
      </c>
      <c r="C2" s="6" t="s">
        <v>22</v>
      </c>
      <c r="D2" s="6" t="s">
        <v>23</v>
      </c>
      <c r="E2" s="6" t="s">
        <v>2</v>
      </c>
      <c r="F2" s="6" t="s">
        <v>24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17</v>
      </c>
      <c r="V2" s="6" t="s">
        <v>18</v>
      </c>
      <c r="W2" s="6" t="s">
        <v>19</v>
      </c>
      <c r="X2" s="6" t="s">
        <v>20</v>
      </c>
      <c r="Y2" s="6" t="s">
        <v>21</v>
      </c>
      <c r="Z2" s="6"/>
    </row>
    <row r="3" spans="1:26" x14ac:dyDescent="0.25">
      <c r="A3" s="7" t="s">
        <v>34</v>
      </c>
      <c r="B3" s="8">
        <v>24.228000000000002</v>
      </c>
      <c r="C3" s="8">
        <v>24.465</v>
      </c>
      <c r="D3" s="8">
        <v>24.166</v>
      </c>
      <c r="E3" s="8">
        <v>24.236999999999998</v>
      </c>
      <c r="F3" s="8">
        <v>24.166</v>
      </c>
      <c r="G3" s="8">
        <v>24.166</v>
      </c>
      <c r="H3" s="8">
        <v>24.166</v>
      </c>
      <c r="I3" s="8">
        <v>24.166</v>
      </c>
      <c r="J3" s="8">
        <v>24.216000000000001</v>
      </c>
      <c r="K3" s="8">
        <v>24.33</v>
      </c>
      <c r="L3" s="8">
        <v>24.716999999999999</v>
      </c>
      <c r="M3" s="8">
        <v>25.036999999999999</v>
      </c>
      <c r="N3" s="8">
        <v>24.99</v>
      </c>
      <c r="O3" s="8">
        <v>26.702000000000002</v>
      </c>
      <c r="P3" s="8">
        <v>26.222000000000001</v>
      </c>
      <c r="Q3" s="8">
        <v>26.914000000000001</v>
      </c>
      <c r="R3" s="8">
        <v>26.995999999999999</v>
      </c>
      <c r="S3" s="8">
        <v>26.504999999999999</v>
      </c>
      <c r="T3" s="8">
        <v>25.806999999999999</v>
      </c>
      <c r="U3" s="8">
        <v>24.454999999999998</v>
      </c>
      <c r="V3" s="8">
        <v>25.335000000000001</v>
      </c>
      <c r="W3" s="8">
        <v>24.3</v>
      </c>
      <c r="X3" s="8">
        <v>25.516999999999999</v>
      </c>
      <c r="Y3" s="8">
        <v>24.166</v>
      </c>
      <c r="Z3" s="8"/>
    </row>
    <row r="6" spans="1:26" x14ac:dyDescent="0.25">
      <c r="B6" s="8"/>
    </row>
    <row r="7" spans="1:26" x14ac:dyDescent="0.25">
      <c r="B7" s="8"/>
      <c r="C7" s="8"/>
      <c r="D7" s="9"/>
    </row>
    <row r="8" spans="1:26" x14ac:dyDescent="0.25">
      <c r="B8" s="8"/>
      <c r="C8" s="8"/>
      <c r="D8" s="9"/>
    </row>
    <row r="9" spans="1:26" x14ac:dyDescent="0.25">
      <c r="B9" s="8"/>
      <c r="C9" s="8"/>
    </row>
    <row r="10" spans="1:26" x14ac:dyDescent="0.25">
      <c r="B10" s="8"/>
      <c r="C10" s="8"/>
    </row>
    <row r="11" spans="1:26" x14ac:dyDescent="0.25">
      <c r="B11" s="8"/>
      <c r="C11" s="8"/>
    </row>
    <row r="12" spans="1:26" x14ac:dyDescent="0.25">
      <c r="B12" s="8"/>
      <c r="C12" s="8"/>
    </row>
    <row r="13" spans="1:26" x14ac:dyDescent="0.25">
      <c r="B13" s="8"/>
      <c r="C13" s="8"/>
    </row>
    <row r="14" spans="1:26" x14ac:dyDescent="0.25">
      <c r="B14" s="8"/>
      <c r="C14" s="8"/>
    </row>
    <row r="15" spans="1:26" x14ac:dyDescent="0.25">
      <c r="B15" s="8"/>
      <c r="C15" s="8"/>
    </row>
    <row r="16" spans="1:26" x14ac:dyDescent="0.25">
      <c r="B16" s="8"/>
      <c r="C16" s="8"/>
    </row>
    <row r="17" spans="2:3" x14ac:dyDescent="0.25">
      <c r="B17" s="8"/>
      <c r="C17" s="8"/>
    </row>
    <row r="18" spans="2:3" x14ac:dyDescent="0.25">
      <c r="B18" s="8"/>
      <c r="C18" s="8"/>
    </row>
    <row r="19" spans="2:3" x14ac:dyDescent="0.25">
      <c r="B19" s="8"/>
      <c r="C19" s="8"/>
    </row>
    <row r="20" spans="2:3" x14ac:dyDescent="0.25">
      <c r="B20" s="8"/>
      <c r="C20" s="8"/>
    </row>
    <row r="21" spans="2:3" x14ac:dyDescent="0.25">
      <c r="B21" s="8"/>
      <c r="C21" s="8"/>
    </row>
    <row r="22" spans="2:3" x14ac:dyDescent="0.25">
      <c r="B22" s="8"/>
      <c r="C22" s="8"/>
    </row>
    <row r="23" spans="2:3" x14ac:dyDescent="0.25">
      <c r="B23" s="8"/>
      <c r="C23" s="8"/>
    </row>
    <row r="24" spans="2:3" x14ac:dyDescent="0.25">
      <c r="B24" s="8"/>
      <c r="C24" s="8"/>
    </row>
    <row r="25" spans="2:3" x14ac:dyDescent="0.25">
      <c r="B25" s="8"/>
      <c r="C25" s="8"/>
    </row>
    <row r="26" spans="2:3" x14ac:dyDescent="0.25">
      <c r="B26" s="8"/>
      <c r="C26" s="8"/>
    </row>
    <row r="27" spans="2:3" x14ac:dyDescent="0.25">
      <c r="B27" s="8"/>
      <c r="C27" s="8"/>
    </row>
    <row r="28" spans="2:3" x14ac:dyDescent="0.25">
      <c r="B28" s="8"/>
      <c r="C28" s="8"/>
    </row>
    <row r="29" spans="2:3" x14ac:dyDescent="0.25">
      <c r="B29" s="8"/>
      <c r="C29" s="8"/>
    </row>
    <row r="30" spans="2:3" x14ac:dyDescent="0.25">
      <c r="C30" s="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45F4-9596-461A-B98E-44121E8E3DFC}">
  <dimension ref="A1:Z24"/>
  <sheetViews>
    <sheetView topLeftCell="A13" workbookViewId="0">
      <selection activeCell="C22" sqref="C22:Z22"/>
    </sheetView>
  </sheetViews>
  <sheetFormatPr defaultRowHeight="15" x14ac:dyDescent="0.25"/>
  <cols>
    <col min="1" max="1" width="13.140625" customWidth="1"/>
    <col min="3" max="26" width="9.140625" style="11"/>
  </cols>
  <sheetData>
    <row r="1" spans="1:26" x14ac:dyDescent="0.25">
      <c r="A1" s="13" t="s">
        <v>29</v>
      </c>
      <c r="C1" s="6" t="s">
        <v>25</v>
      </c>
      <c r="D1" s="6" t="s">
        <v>22</v>
      </c>
      <c r="E1" s="6" t="s">
        <v>23</v>
      </c>
      <c r="F1" s="6" t="s">
        <v>2</v>
      </c>
      <c r="G1" s="6" t="s">
        <v>24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</row>
    <row r="2" spans="1:26" x14ac:dyDescent="0.25">
      <c r="A2" s="13"/>
      <c r="B2" s="7" t="s">
        <v>26</v>
      </c>
      <c r="C2" s="12">
        <v>15</v>
      </c>
      <c r="D2" s="12">
        <v>12</v>
      </c>
      <c r="E2" s="12">
        <v>10.98</v>
      </c>
      <c r="F2" s="12">
        <v>11</v>
      </c>
      <c r="G2" s="12">
        <v>11</v>
      </c>
      <c r="H2" s="12">
        <v>10.95</v>
      </c>
      <c r="I2" s="12">
        <v>4.07</v>
      </c>
      <c r="J2" s="12">
        <v>3.98</v>
      </c>
      <c r="K2" s="12">
        <v>3</v>
      </c>
      <c r="L2" s="12">
        <v>3</v>
      </c>
      <c r="M2" s="12">
        <v>5</v>
      </c>
      <c r="N2" s="12">
        <v>5</v>
      </c>
      <c r="O2" s="12">
        <v>5</v>
      </c>
      <c r="P2" s="12">
        <v>7</v>
      </c>
      <c r="Q2" s="12">
        <v>8</v>
      </c>
      <c r="R2" s="12">
        <v>7.98</v>
      </c>
      <c r="S2" s="12">
        <v>6.92</v>
      </c>
      <c r="T2" s="12">
        <v>7</v>
      </c>
      <c r="U2" s="12">
        <v>7</v>
      </c>
      <c r="V2" s="12">
        <v>8</v>
      </c>
      <c r="W2" s="12">
        <v>7</v>
      </c>
      <c r="X2" s="12">
        <v>10</v>
      </c>
      <c r="Y2" s="12">
        <v>13</v>
      </c>
      <c r="Z2" s="12">
        <v>14</v>
      </c>
    </row>
    <row r="3" spans="1:26" x14ac:dyDescent="0.25">
      <c r="A3" s="13"/>
      <c r="B3" s="7" t="s">
        <v>27</v>
      </c>
      <c r="C3" s="12">
        <v>8.0495505617977532</v>
      </c>
      <c r="D3" s="12">
        <v>6.775823927765237</v>
      </c>
      <c r="E3" s="12">
        <v>6.1168539325842692</v>
      </c>
      <c r="F3" s="12">
        <v>6.5404943820224721</v>
      </c>
      <c r="G3" s="12">
        <v>6.548314606741573</v>
      </c>
      <c r="H3" s="12">
        <v>4.7313483146067412</v>
      </c>
      <c r="I3" s="12">
        <v>2.3868314606741574</v>
      </c>
      <c r="J3" s="12">
        <v>1.7775730337078652</v>
      </c>
      <c r="K3" s="12">
        <v>1.7752808988764044</v>
      </c>
      <c r="L3" s="12">
        <v>1.8337078651685392</v>
      </c>
      <c r="M3" s="12">
        <v>3.0538651685393261</v>
      </c>
      <c r="N3" s="12">
        <v>2.5067865168539325</v>
      </c>
      <c r="O3" s="12">
        <v>3.0511235955056182</v>
      </c>
      <c r="P3" s="12">
        <v>4.2200898876404498</v>
      </c>
      <c r="Q3" s="12">
        <v>4.7730337078651681</v>
      </c>
      <c r="R3" s="12">
        <v>4.2247640449438197</v>
      </c>
      <c r="S3" s="12">
        <v>3.6130561797752807</v>
      </c>
      <c r="T3" s="12">
        <v>4.160629213483146</v>
      </c>
      <c r="U3" s="12">
        <v>4.2786516853932586</v>
      </c>
      <c r="V3" s="12">
        <v>4.3370786516853936</v>
      </c>
      <c r="W3" s="12">
        <v>4.2786516853932586</v>
      </c>
      <c r="X3" s="12">
        <v>4.4539325842696629</v>
      </c>
      <c r="Y3" s="12">
        <v>5.1819775280898881</v>
      </c>
      <c r="Z3" s="12">
        <v>6.3416404494382013</v>
      </c>
    </row>
    <row r="4" spans="1:26" x14ac:dyDescent="0.25">
      <c r="A4" s="13"/>
      <c r="B4" s="7" t="s">
        <v>28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</row>
    <row r="6" spans="1:26" x14ac:dyDescent="0.25">
      <c r="A6" s="14" t="s">
        <v>30</v>
      </c>
      <c r="C6" s="6" t="s">
        <v>25</v>
      </c>
      <c r="D6" s="6" t="s">
        <v>22</v>
      </c>
      <c r="E6" s="6" t="s">
        <v>23</v>
      </c>
      <c r="F6" s="6" t="s">
        <v>2</v>
      </c>
      <c r="G6" s="6" t="s">
        <v>24</v>
      </c>
      <c r="H6" s="6" t="s">
        <v>3</v>
      </c>
      <c r="I6" s="6" t="s">
        <v>4</v>
      </c>
      <c r="J6" s="6" t="s">
        <v>5</v>
      </c>
      <c r="K6" s="6" t="s">
        <v>6</v>
      </c>
      <c r="L6" s="6" t="s">
        <v>7</v>
      </c>
      <c r="M6" s="6" t="s">
        <v>8</v>
      </c>
      <c r="N6" s="6" t="s">
        <v>9</v>
      </c>
      <c r="O6" s="6" t="s">
        <v>10</v>
      </c>
      <c r="P6" s="6" t="s">
        <v>11</v>
      </c>
      <c r="Q6" s="6" t="s">
        <v>12</v>
      </c>
      <c r="R6" s="6" t="s">
        <v>13</v>
      </c>
      <c r="S6" s="6" t="s">
        <v>14</v>
      </c>
      <c r="T6" s="6" t="s">
        <v>15</v>
      </c>
      <c r="U6" s="6" t="s">
        <v>16</v>
      </c>
      <c r="V6" s="6" t="s">
        <v>17</v>
      </c>
      <c r="W6" s="6" t="s">
        <v>18</v>
      </c>
      <c r="X6" s="6" t="s">
        <v>19</v>
      </c>
      <c r="Y6" s="6" t="s">
        <v>20</v>
      </c>
      <c r="Z6" s="6" t="s">
        <v>21</v>
      </c>
    </row>
    <row r="7" spans="1:26" x14ac:dyDescent="0.25">
      <c r="A7" s="14"/>
      <c r="B7" s="7" t="s">
        <v>26</v>
      </c>
      <c r="C7" s="12">
        <v>22.061</v>
      </c>
      <c r="D7" s="12">
        <v>23.102</v>
      </c>
      <c r="E7" s="12">
        <v>22.635000000000002</v>
      </c>
      <c r="F7" s="12">
        <v>23.404</v>
      </c>
      <c r="G7" s="12">
        <v>22.919</v>
      </c>
      <c r="H7" s="12">
        <v>22.29</v>
      </c>
      <c r="I7" s="12">
        <v>23.86</v>
      </c>
      <c r="J7" s="12">
        <v>22.113</v>
      </c>
      <c r="K7" s="12">
        <v>22.577000000000002</v>
      </c>
      <c r="L7" s="12">
        <v>23.71</v>
      </c>
      <c r="M7" s="12">
        <v>23.097000000000001</v>
      </c>
      <c r="N7" s="12">
        <v>23.276</v>
      </c>
      <c r="O7" s="12">
        <v>23.407</v>
      </c>
      <c r="P7" s="12">
        <v>23.42</v>
      </c>
      <c r="Q7" s="12">
        <v>23.47</v>
      </c>
      <c r="R7" s="12">
        <v>23.49</v>
      </c>
      <c r="S7" s="12">
        <v>23.481999999999999</v>
      </c>
      <c r="T7" s="12">
        <v>23.545999999999999</v>
      </c>
      <c r="U7" s="12">
        <v>23.332000000000001</v>
      </c>
      <c r="V7" s="12">
        <v>23.100999999999999</v>
      </c>
      <c r="W7" s="12">
        <v>22.965</v>
      </c>
      <c r="X7" s="12">
        <v>23.25</v>
      </c>
      <c r="Y7" s="12">
        <v>22.19</v>
      </c>
      <c r="Z7" s="12">
        <v>22.824000000000002</v>
      </c>
    </row>
    <row r="8" spans="1:26" x14ac:dyDescent="0.25">
      <c r="A8" s="14"/>
      <c r="B8" s="7" t="s">
        <v>27</v>
      </c>
      <c r="C8" s="12">
        <v>6.6283309859154915</v>
      </c>
      <c r="D8" s="12">
        <v>6.2767235116044429</v>
      </c>
      <c r="E8" s="12">
        <v>6.1332424547283697</v>
      </c>
      <c r="F8" s="12">
        <v>6.0835905432595592</v>
      </c>
      <c r="G8" s="12">
        <v>6.1207947686116713</v>
      </c>
      <c r="H8" s="12">
        <v>5.8936509054326036</v>
      </c>
      <c r="I8" s="12">
        <v>5.7774688128772542</v>
      </c>
      <c r="J8" s="12">
        <v>5.4917525150905426</v>
      </c>
      <c r="K8" s="12">
        <v>5.8542022132796827</v>
      </c>
      <c r="L8" s="12">
        <v>8.0880432595573417</v>
      </c>
      <c r="M8" s="12">
        <v>10.072261569416488</v>
      </c>
      <c r="N8" s="12">
        <v>10.785098591549284</v>
      </c>
      <c r="O8" s="12">
        <v>11.67125955734406</v>
      </c>
      <c r="P8" s="12">
        <v>12.486568410462777</v>
      </c>
      <c r="Q8" s="12">
        <v>13.120456740442638</v>
      </c>
      <c r="R8" s="12">
        <v>13.324199195171015</v>
      </c>
      <c r="S8" s="12">
        <v>13.326509054325957</v>
      </c>
      <c r="T8" s="12">
        <v>12.855467806841055</v>
      </c>
      <c r="U8" s="12">
        <v>11.380384305835006</v>
      </c>
      <c r="V8" s="12">
        <v>9.5030321931589548</v>
      </c>
      <c r="W8" s="12">
        <v>8.2130231388329911</v>
      </c>
      <c r="X8" s="12">
        <v>7.5893702213279717</v>
      </c>
      <c r="Y8" s="12">
        <v>7.1965704225352187</v>
      </c>
      <c r="Z8" s="12">
        <v>6.8412696177062404</v>
      </c>
    </row>
    <row r="9" spans="1:26" x14ac:dyDescent="0.25">
      <c r="A9" s="14"/>
      <c r="B9" s="7" t="s">
        <v>28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</row>
    <row r="11" spans="1:26" x14ac:dyDescent="0.25">
      <c r="A11" s="15" t="s">
        <v>31</v>
      </c>
      <c r="C11" s="6" t="s">
        <v>25</v>
      </c>
      <c r="D11" s="6" t="s">
        <v>22</v>
      </c>
      <c r="E11" s="6" t="s">
        <v>23</v>
      </c>
      <c r="F11" s="6" t="s">
        <v>2</v>
      </c>
      <c r="G11" s="6" t="s">
        <v>24</v>
      </c>
      <c r="H11" s="6" t="s">
        <v>3</v>
      </c>
      <c r="I11" s="6" t="s">
        <v>4</v>
      </c>
      <c r="J11" s="6" t="s">
        <v>5</v>
      </c>
      <c r="K11" s="6" t="s">
        <v>6</v>
      </c>
      <c r="L11" s="6" t="s">
        <v>7</v>
      </c>
      <c r="M11" s="6" t="s">
        <v>8</v>
      </c>
      <c r="N11" s="6" t="s">
        <v>9</v>
      </c>
      <c r="O11" s="6" t="s">
        <v>10</v>
      </c>
      <c r="P11" s="6" t="s">
        <v>11</v>
      </c>
      <c r="Q11" s="6" t="s">
        <v>12</v>
      </c>
      <c r="R11" s="6" t="s">
        <v>13</v>
      </c>
      <c r="S11" s="6" t="s">
        <v>14</v>
      </c>
      <c r="T11" s="6" t="s">
        <v>15</v>
      </c>
      <c r="U11" s="6" t="s">
        <v>16</v>
      </c>
      <c r="V11" s="6" t="s">
        <v>17</v>
      </c>
      <c r="W11" s="6" t="s">
        <v>18</v>
      </c>
      <c r="X11" s="6" t="s">
        <v>19</v>
      </c>
      <c r="Y11" s="6" t="s">
        <v>20</v>
      </c>
      <c r="Z11" s="6" t="s">
        <v>21</v>
      </c>
    </row>
    <row r="12" spans="1:26" x14ac:dyDescent="0.25">
      <c r="A12" s="15"/>
      <c r="B12" s="7" t="s">
        <v>26</v>
      </c>
      <c r="C12" s="12">
        <v>26.966000000000001</v>
      </c>
      <c r="D12" s="12">
        <v>26.469000000000001</v>
      </c>
      <c r="E12" s="12">
        <v>26.672999999999998</v>
      </c>
      <c r="F12" s="12">
        <v>26.492999999999999</v>
      </c>
      <c r="G12" s="12">
        <v>26.021999999999998</v>
      </c>
      <c r="H12" s="12">
        <v>25.646999999999998</v>
      </c>
      <c r="I12" s="12">
        <v>24.635000000000002</v>
      </c>
      <c r="J12" s="12">
        <v>24.010999999999999</v>
      </c>
      <c r="K12" s="12">
        <v>25.794</v>
      </c>
      <c r="L12" s="12">
        <v>26.577000000000002</v>
      </c>
      <c r="M12" s="12">
        <v>26.835000000000001</v>
      </c>
      <c r="N12" s="12">
        <v>26.937000000000001</v>
      </c>
      <c r="O12" s="12">
        <v>27.137</v>
      </c>
      <c r="P12" s="12">
        <v>27.12</v>
      </c>
      <c r="Q12" s="12">
        <v>27.16</v>
      </c>
      <c r="R12" s="12">
        <v>27.138000000000002</v>
      </c>
      <c r="S12" s="12">
        <v>27.128</v>
      </c>
      <c r="T12" s="12">
        <v>27.081</v>
      </c>
      <c r="U12" s="12">
        <v>27.067</v>
      </c>
      <c r="V12" s="12">
        <v>27.047000000000001</v>
      </c>
      <c r="W12" s="12">
        <v>26.812999999999999</v>
      </c>
      <c r="X12" s="12">
        <v>26.675000000000001</v>
      </c>
      <c r="Y12" s="12">
        <v>26.981999999999999</v>
      </c>
      <c r="Z12" s="12">
        <v>26.925000000000001</v>
      </c>
    </row>
    <row r="13" spans="1:26" x14ac:dyDescent="0.25">
      <c r="A13" s="15"/>
      <c r="B13" s="7" t="s">
        <v>27</v>
      </c>
      <c r="C13" s="12">
        <v>9.6120451807228928</v>
      </c>
      <c r="D13" s="12">
        <v>8.92683122362868</v>
      </c>
      <c r="E13" s="12">
        <v>8.2635939759036159</v>
      </c>
      <c r="F13" s="12">
        <v>7.7593379518072352</v>
      </c>
      <c r="G13" s="12">
        <v>7.2398837349397667</v>
      </c>
      <c r="H13" s="12">
        <v>6.6295975903614508</v>
      </c>
      <c r="I13" s="12">
        <v>6.0449138554216937</v>
      </c>
      <c r="J13" s="12">
        <v>5.3913759036144553</v>
      </c>
      <c r="K13" s="12">
        <v>5.5471283132530056</v>
      </c>
      <c r="L13" s="12">
        <v>7.229660240963856</v>
      </c>
      <c r="M13" s="12">
        <v>9.6033620481927677</v>
      </c>
      <c r="N13" s="12">
        <v>11.252799397590355</v>
      </c>
      <c r="O13" s="12">
        <v>12.345654819277122</v>
      </c>
      <c r="P13" s="12">
        <v>13.440292168674699</v>
      </c>
      <c r="Q13" s="12">
        <v>14.305599999999997</v>
      </c>
      <c r="R13" s="12">
        <v>14.820725903614477</v>
      </c>
      <c r="S13" s="12">
        <v>15.088687951807239</v>
      </c>
      <c r="T13" s="12">
        <v>15.016298192771078</v>
      </c>
      <c r="U13" s="12">
        <v>14.474912650602416</v>
      </c>
      <c r="V13" s="12">
        <v>13.533711445783148</v>
      </c>
      <c r="W13" s="12">
        <v>12.548795180722896</v>
      </c>
      <c r="X13" s="12">
        <v>11.764571084337362</v>
      </c>
      <c r="Y13" s="12">
        <v>10.992259036144594</v>
      </c>
      <c r="Z13" s="12">
        <v>10.246464457831337</v>
      </c>
    </row>
    <row r="14" spans="1:26" x14ac:dyDescent="0.25">
      <c r="A14" s="15"/>
      <c r="B14" s="7" t="s">
        <v>28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</row>
    <row r="16" spans="1:26" x14ac:dyDescent="0.25">
      <c r="A16" s="14" t="s">
        <v>32</v>
      </c>
      <c r="C16" s="6" t="s">
        <v>25</v>
      </c>
      <c r="D16" s="6" t="s">
        <v>22</v>
      </c>
      <c r="E16" s="6" t="s">
        <v>23</v>
      </c>
      <c r="F16" s="6" t="s">
        <v>2</v>
      </c>
      <c r="G16" s="6" t="s">
        <v>24</v>
      </c>
      <c r="H16" s="6" t="s">
        <v>3</v>
      </c>
      <c r="I16" s="6" t="s">
        <v>4</v>
      </c>
      <c r="J16" s="6" t="s">
        <v>5</v>
      </c>
      <c r="K16" s="6" t="s">
        <v>6</v>
      </c>
      <c r="L16" s="6" t="s">
        <v>7</v>
      </c>
      <c r="M16" s="6" t="s">
        <v>8</v>
      </c>
      <c r="N16" s="6" t="s">
        <v>9</v>
      </c>
      <c r="O16" s="6" t="s">
        <v>10</v>
      </c>
      <c r="P16" s="6" t="s">
        <v>11</v>
      </c>
      <c r="Q16" s="6" t="s">
        <v>12</v>
      </c>
      <c r="R16" s="6" t="s">
        <v>13</v>
      </c>
      <c r="S16" s="6" t="s">
        <v>14</v>
      </c>
      <c r="T16" s="6" t="s">
        <v>15</v>
      </c>
      <c r="U16" s="6" t="s">
        <v>16</v>
      </c>
      <c r="V16" s="6" t="s">
        <v>17</v>
      </c>
      <c r="W16" s="6" t="s">
        <v>18</v>
      </c>
      <c r="X16" s="6" t="s">
        <v>19</v>
      </c>
      <c r="Y16" s="6" t="s">
        <v>20</v>
      </c>
      <c r="Z16" s="6" t="s">
        <v>21</v>
      </c>
    </row>
    <row r="17" spans="1:26" x14ac:dyDescent="0.25">
      <c r="A17" s="14"/>
      <c r="B17" s="7" t="s">
        <v>26</v>
      </c>
      <c r="C17" s="12">
        <v>18.643999999999998</v>
      </c>
      <c r="D17" s="12">
        <v>18.600000000000001</v>
      </c>
      <c r="E17" s="12">
        <v>18.594000000000001</v>
      </c>
      <c r="F17" s="12">
        <v>18.573</v>
      </c>
      <c r="G17" s="12">
        <v>18.504999999999999</v>
      </c>
      <c r="H17" s="12">
        <v>18.573</v>
      </c>
      <c r="I17" s="12">
        <v>18.347000000000001</v>
      </c>
      <c r="J17" s="12">
        <v>18.559000000000001</v>
      </c>
      <c r="K17" s="12">
        <v>18.170000000000002</v>
      </c>
      <c r="L17" s="12">
        <v>18.620999999999999</v>
      </c>
      <c r="M17" s="12">
        <v>18.847000000000001</v>
      </c>
      <c r="N17" s="12">
        <v>18.523</v>
      </c>
      <c r="O17" s="12">
        <v>18.911000000000001</v>
      </c>
      <c r="P17" s="12">
        <v>18.914000000000001</v>
      </c>
      <c r="Q17" s="12">
        <v>18.981000000000002</v>
      </c>
      <c r="R17" s="12">
        <v>18.582000000000001</v>
      </c>
      <c r="S17" s="12">
        <v>18.669</v>
      </c>
      <c r="T17" s="12">
        <v>18.655000000000001</v>
      </c>
      <c r="U17" s="12">
        <v>18.655999999999999</v>
      </c>
      <c r="V17" s="12">
        <v>18.7</v>
      </c>
      <c r="W17" s="12">
        <v>18.542000000000002</v>
      </c>
      <c r="X17" s="12">
        <v>18.475000000000001</v>
      </c>
      <c r="Y17" s="12">
        <v>18.541</v>
      </c>
      <c r="Z17" s="12">
        <v>18.77</v>
      </c>
    </row>
    <row r="18" spans="1:26" x14ac:dyDescent="0.25">
      <c r="A18" s="14"/>
      <c r="B18" s="7" t="s">
        <v>27</v>
      </c>
      <c r="C18" s="12">
        <v>11.044755854126654</v>
      </c>
      <c r="D18" s="12">
        <v>10.911613955726658</v>
      </c>
      <c r="E18" s="12">
        <v>10.616072648752416</v>
      </c>
      <c r="F18" s="12">
        <v>10.127596545105593</v>
      </c>
      <c r="G18" s="12">
        <v>9.4007509596928998</v>
      </c>
      <c r="H18" s="12">
        <v>8.7842402111324454</v>
      </c>
      <c r="I18" s="12">
        <v>8.1357776391554708</v>
      </c>
      <c r="J18" s="12">
        <v>7.5062633397312908</v>
      </c>
      <c r="K18" s="12">
        <v>7.4321547024951968</v>
      </c>
      <c r="L18" s="12">
        <v>8.4364598848368395</v>
      </c>
      <c r="M18" s="12">
        <v>9.4471954894433736</v>
      </c>
      <c r="N18" s="12">
        <v>10.416451343570047</v>
      </c>
      <c r="O18" s="12">
        <v>11.492118234165073</v>
      </c>
      <c r="P18" s="12">
        <v>12.223870537428015</v>
      </c>
      <c r="Q18" s="12">
        <v>12.50068608445299</v>
      </c>
      <c r="R18" s="12">
        <v>12.402933397312873</v>
      </c>
      <c r="S18" s="12">
        <v>12.092375911708258</v>
      </c>
      <c r="T18" s="12">
        <v>11.380085124760086</v>
      </c>
      <c r="U18" s="12">
        <v>10.584018234165072</v>
      </c>
      <c r="V18" s="12">
        <v>10.102103166986565</v>
      </c>
      <c r="W18" s="12">
        <v>10.104276295585437</v>
      </c>
      <c r="X18" s="12">
        <v>10.362303742802304</v>
      </c>
      <c r="Y18" s="12">
        <v>10.698044913627653</v>
      </c>
      <c r="Z18" s="12">
        <v>10.928321497120928</v>
      </c>
    </row>
    <row r="19" spans="1:26" x14ac:dyDescent="0.25">
      <c r="A19" s="14"/>
      <c r="B19" s="7" t="s">
        <v>28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</row>
    <row r="21" spans="1:26" x14ac:dyDescent="0.25">
      <c r="A21" s="14" t="s">
        <v>33</v>
      </c>
      <c r="C21" s="6" t="s">
        <v>25</v>
      </c>
      <c r="D21" s="6" t="s">
        <v>22</v>
      </c>
      <c r="E21" s="6" t="s">
        <v>23</v>
      </c>
      <c r="F21" s="6" t="s">
        <v>2</v>
      </c>
      <c r="G21" s="6" t="s">
        <v>24</v>
      </c>
      <c r="H21" s="6" t="s">
        <v>3</v>
      </c>
      <c r="I21" s="6" t="s">
        <v>4</v>
      </c>
      <c r="J21" s="6" t="s">
        <v>5</v>
      </c>
      <c r="K21" s="6" t="s">
        <v>6</v>
      </c>
      <c r="L21" s="6" t="s">
        <v>7</v>
      </c>
      <c r="M21" s="6" t="s">
        <v>8</v>
      </c>
      <c r="N21" s="6" t="s">
        <v>9</v>
      </c>
      <c r="O21" s="6" t="s">
        <v>10</v>
      </c>
      <c r="P21" s="6" t="s">
        <v>11</v>
      </c>
      <c r="Q21" s="6" t="s">
        <v>12</v>
      </c>
      <c r="R21" s="6" t="s">
        <v>13</v>
      </c>
      <c r="S21" s="6" t="s">
        <v>14</v>
      </c>
      <c r="T21" s="6" t="s">
        <v>15</v>
      </c>
      <c r="U21" s="6" t="s">
        <v>16</v>
      </c>
      <c r="V21" s="6" t="s">
        <v>17</v>
      </c>
      <c r="W21" s="6" t="s">
        <v>18</v>
      </c>
      <c r="X21" s="6" t="s">
        <v>19</v>
      </c>
      <c r="Y21" s="6" t="s">
        <v>20</v>
      </c>
      <c r="Z21" s="6" t="s">
        <v>21</v>
      </c>
    </row>
    <row r="22" spans="1:26" x14ac:dyDescent="0.25">
      <c r="A22" s="14"/>
      <c r="B22" s="7" t="s">
        <v>26</v>
      </c>
      <c r="C22" s="12">
        <v>24.228000000000002</v>
      </c>
      <c r="D22" s="12">
        <v>24.465</v>
      </c>
      <c r="E22" s="12">
        <v>24.166</v>
      </c>
      <c r="F22" s="12">
        <v>24.236999999999998</v>
      </c>
      <c r="G22" s="12">
        <v>24.166</v>
      </c>
      <c r="H22" s="12">
        <v>24.166</v>
      </c>
      <c r="I22" s="12">
        <v>24.166</v>
      </c>
      <c r="J22" s="12">
        <v>24.166</v>
      </c>
      <c r="K22" s="12">
        <v>24.216000000000001</v>
      </c>
      <c r="L22" s="12">
        <v>24.33</v>
      </c>
      <c r="M22" s="12">
        <v>24.716999999999999</v>
      </c>
      <c r="N22" s="12">
        <v>25.036999999999999</v>
      </c>
      <c r="O22" s="12">
        <v>24.99</v>
      </c>
      <c r="P22" s="12">
        <v>26.702000000000002</v>
      </c>
      <c r="Q22" s="12">
        <v>26.222000000000001</v>
      </c>
      <c r="R22" s="12">
        <v>26.914000000000001</v>
      </c>
      <c r="S22" s="12">
        <v>26.995999999999999</v>
      </c>
      <c r="T22" s="12">
        <v>26.504999999999999</v>
      </c>
      <c r="U22" s="12">
        <v>25.806999999999999</v>
      </c>
      <c r="V22" s="12">
        <v>24.454999999999998</v>
      </c>
      <c r="W22" s="12">
        <v>25.335000000000001</v>
      </c>
      <c r="X22" s="12">
        <v>24.3</v>
      </c>
      <c r="Y22" s="12">
        <v>25.516999999999999</v>
      </c>
      <c r="Z22" s="12">
        <v>24.166</v>
      </c>
    </row>
    <row r="23" spans="1:26" x14ac:dyDescent="0.25">
      <c r="A23" s="14"/>
      <c r="B23" s="7" t="s">
        <v>27</v>
      </c>
      <c r="C23" s="12">
        <v>8.9692378546099309</v>
      </c>
      <c r="D23" s="12">
        <v>8.6749250666666686</v>
      </c>
      <c r="E23" s="12">
        <v>8.4590865248226983</v>
      </c>
      <c r="F23" s="12">
        <v>8.3679762411347465</v>
      </c>
      <c r="G23" s="12">
        <v>8.0438343971631223</v>
      </c>
      <c r="H23" s="12">
        <v>7.6759226950354611</v>
      </c>
      <c r="I23" s="12">
        <v>7.3295063829787228</v>
      </c>
      <c r="J23" s="12">
        <v>6.9134421985815537</v>
      </c>
      <c r="K23" s="12">
        <v>7.3778251773049597</v>
      </c>
      <c r="L23" s="12">
        <v>9.461724734042555</v>
      </c>
      <c r="M23" s="12">
        <v>11.071541134751779</v>
      </c>
      <c r="N23" s="12">
        <v>11.915314716312047</v>
      </c>
      <c r="O23" s="12">
        <v>12.702629875886533</v>
      </c>
      <c r="P23" s="12">
        <v>13.472727216312057</v>
      </c>
      <c r="Q23" s="12">
        <v>13.925986879432616</v>
      </c>
      <c r="R23" s="12">
        <v>14.126300088652505</v>
      </c>
      <c r="S23" s="12">
        <v>13.993347695035473</v>
      </c>
      <c r="T23" s="12">
        <v>13.475853368794322</v>
      </c>
      <c r="U23" s="12">
        <v>12.291003634751785</v>
      </c>
      <c r="V23" s="12">
        <v>11.060175088652471</v>
      </c>
      <c r="W23" s="12">
        <v>10.325209042553183</v>
      </c>
      <c r="X23" s="12">
        <v>9.7525305851063724</v>
      </c>
      <c r="Y23" s="12">
        <v>9.3808938829787234</v>
      </c>
      <c r="Z23" s="12">
        <v>9.0806650709219863</v>
      </c>
    </row>
    <row r="24" spans="1:26" x14ac:dyDescent="0.25">
      <c r="A24" s="14"/>
      <c r="B24" s="7" t="s">
        <v>28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</row>
  </sheetData>
  <mergeCells count="5">
    <mergeCell ref="A1:A4"/>
    <mergeCell ref="A6:A9"/>
    <mergeCell ref="A11:A14"/>
    <mergeCell ref="A16:A19"/>
    <mergeCell ref="A21:A2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Plot</vt:lpstr>
      <vt:lpstr>Usinas Eolicas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2026-03-03T00:50:55Z</dcterms:modified>
</cp:coreProperties>
</file>