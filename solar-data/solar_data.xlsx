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C79E28D-9B38-4446-8235-FFE6B1C252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  <sheet name="Plot" sheetId="2" r:id="rId2"/>
    <sheet name="Usinas Solar" sheetId="3" r:id="rId3"/>
  </sheets>
  <definedNames>
    <definedName name="_xlnm._FilterDatabase" localSheetId="0" hidden="1">Planilha1!$A$1:$L$97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4" i="1" l="1"/>
  <c r="B90" i="1"/>
  <c r="B86" i="1"/>
  <c r="B87" i="1" s="1"/>
  <c r="B88" i="1" s="1"/>
  <c r="B89" i="1" s="1"/>
  <c r="B82" i="1"/>
  <c r="B78" i="1"/>
  <c r="B74" i="1"/>
  <c r="B70" i="1"/>
  <c r="B66" i="1"/>
  <c r="B62" i="1"/>
  <c r="B58" i="1"/>
  <c r="B54" i="1"/>
  <c r="B50" i="1"/>
  <c r="B46" i="1"/>
  <c r="B42" i="1"/>
  <c r="B38" i="1"/>
  <c r="B34" i="1"/>
  <c r="B30" i="1"/>
  <c r="B26" i="1"/>
  <c r="B22" i="1"/>
  <c r="B23" i="1" s="1"/>
  <c r="B24" i="1" s="1"/>
  <c r="B25" i="1" s="1"/>
  <c r="B18" i="1"/>
  <c r="B14" i="1"/>
  <c r="B10" i="1"/>
  <c r="B6" i="1"/>
  <c r="B2" i="1"/>
  <c r="B27" i="1" l="1"/>
  <c r="B28" i="1" s="1"/>
  <c r="B29" i="1" s="1"/>
  <c r="B43" i="1"/>
  <c r="B44" i="1" s="1"/>
  <c r="B45" i="1" s="1"/>
  <c r="B63" i="1"/>
  <c r="B64" i="1" s="1"/>
  <c r="B65" i="1" s="1"/>
  <c r="B91" i="1"/>
  <c r="B92" i="1" s="1"/>
  <c r="B93" i="1" s="1"/>
  <c r="B31" i="1"/>
  <c r="B32" i="1" s="1"/>
  <c r="B33" i="1" s="1"/>
  <c r="B95" i="1"/>
  <c r="B96" i="1" s="1"/>
  <c r="B97" i="1" s="1"/>
  <c r="B83" i="1"/>
  <c r="B84" i="1" s="1"/>
  <c r="B85" i="1" s="1"/>
  <c r="B79" i="1"/>
  <c r="B80" i="1" s="1"/>
  <c r="B81" i="1" s="1"/>
  <c r="B75" i="1"/>
  <c r="B76" i="1" s="1"/>
  <c r="B77" i="1" s="1"/>
  <c r="B71" i="1"/>
  <c r="B72" i="1" s="1"/>
  <c r="B73" i="1" s="1"/>
  <c r="B67" i="1"/>
  <c r="B68" i="1" s="1"/>
  <c r="B69" i="1" s="1"/>
  <c r="B59" i="1"/>
  <c r="B60" i="1" s="1"/>
  <c r="B61" i="1" s="1"/>
  <c r="B55" i="1"/>
  <c r="B56" i="1" s="1"/>
  <c r="B57" i="1" s="1"/>
  <c r="B51" i="1"/>
  <c r="B52" i="1" s="1"/>
  <c r="B53" i="1" s="1"/>
  <c r="B47" i="1"/>
  <c r="B48" i="1" s="1"/>
  <c r="B49" i="1" s="1"/>
  <c r="B39" i="1"/>
  <c r="B40" i="1" s="1"/>
  <c r="B41" i="1" s="1"/>
  <c r="B35" i="1"/>
  <c r="B36" i="1" s="1"/>
  <c r="B37" i="1" s="1"/>
  <c r="B19" i="1"/>
  <c r="B20" i="1" s="1"/>
  <c r="B21" i="1" s="1"/>
  <c r="B15" i="1"/>
  <c r="B16" i="1" s="1"/>
  <c r="B17" i="1" s="1"/>
  <c r="B11" i="1"/>
  <c r="B12" i="1" s="1"/>
  <c r="B13" i="1" s="1"/>
  <c r="B7" i="1"/>
  <c r="B8" i="1" s="1"/>
  <c r="B9" i="1" s="1"/>
  <c r="B3" i="1"/>
  <c r="B4" i="1" s="1"/>
  <c r="B5" i="1" s="1"/>
</calcChain>
</file>

<file path=xl/sharedStrings.xml><?xml version="1.0" encoding="utf-8"?>
<sst xmlns="http://schemas.openxmlformats.org/spreadsheetml/2006/main" count="159" uniqueCount="33">
  <si>
    <t>Time</t>
  </si>
  <si>
    <t>2:00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</si>
  <si>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</si>
  <si>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</si>
  <si>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</si>
  <si>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</si>
  <si>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</si>
  <si>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</si>
  <si>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</si>
  <si>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</si>
  <si>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</si>
  <si>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</si>
  <si>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</si>
  <si>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</si>
  <si>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</si>
  <si>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</si>
  <si>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</si>
  <si>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</si>
  <si>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</si>
  <si>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</si>
  <si>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</si>
  <si>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0:00</t>
  </si>
  <si>
    <t>1:00</t>
  </si>
  <si>
    <t>3:00</t>
  </si>
  <si>
    <t>23:00</t>
  </si>
  <si>
    <t>Máximo</t>
  </si>
  <si>
    <t>Média</t>
  </si>
  <si>
    <t>Mínimo</t>
  </si>
  <si>
    <t>psolar</t>
  </si>
  <si>
    <t>Alex</t>
  </si>
  <si>
    <t>Calcario</t>
  </si>
  <si>
    <t>Lavras</t>
  </si>
  <si>
    <t>Sol do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</si>
</sst>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vertical="center"/>
    </xf>
    <xf numFmtId="4" fontId="0" fillId="0" borderId="0" xfId="0" applyNumberFormat="1"/>
    <xf numFmtId="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psolar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Planilha1!$A$2:$A$100</c:f>
              <c:strCache>
                <c:ptCount val="96"/>
                <c:pt idx="0">
                  <c:v>23:00:00</c:v>
                </c:pt>
                <c:pt idx="1">
                  <c:v>23:15:00</c:v>
                </c:pt>
                <c:pt idx="2">
                  <c:v>23:30:00</c:v>
                </c:pt>
                <c:pt idx="3">
                  <c:v>23:45:00</c:v>
                </c:pt>
                <c:pt idx="4">
                  <c:v>00:00:00</c:v>
                </c:pt>
                <c:pt idx="5">
                  <c:v>00:15:00</c:v>
                </c:pt>
                <c:pt idx="6">
                  <c:v>00:30:00</c:v>
                </c:pt>
                <c:pt idx="7">
                  <c:v>00:45:00</c:v>
                </c:pt>
                <c:pt idx="8">
                  <c:v>01:00:00</c:v>
                </c:pt>
                <c:pt idx="9">
                  <c:v>01:15:00</c:v>
                </c:pt>
                <c:pt idx="10">
                  <c:v>01:30:00</c:v>
                </c:pt>
                <c:pt idx="11">
                  <c:v>01:45:00</c:v>
                </c:pt>
                <c:pt idx="12">
                  <c:v>2:00</c:v>
                </c:pt>
                <c:pt idx="13">
                  <c:v>02:15:00</c:v>
                </c:pt>
                <c:pt idx="14">
                  <c:v>02:30:00</c:v>
                </c:pt>
                <c:pt idx="15">
                  <c:v>02:45:00</c:v>
                </c:pt>
                <c:pt idx="16">
                  <c:v>03:00:00</c:v>
                </c:pt>
                <c:pt idx="17">
                  <c:v>03:15:00</c:v>
                </c:pt>
                <c:pt idx="18">
                  <c:v>03:30:00</c:v>
                </c:pt>
                <c:pt idx="19">
                  <c:v>03:45:00</c:v>
                </c:pt>
                <c:pt idx="20">
                  <c:v>4:00</c:v>
                </c:pt>
                <c:pt idx="21">
                  <c:v>04:15:00</c:v>
                </c:pt>
                <c:pt idx="22">
                  <c:v>04:30:00</c:v>
                </c:pt>
                <c:pt idx="23">
                  <c:v>04:45:00</c:v>
                </c:pt>
                <c:pt idx="24">
                  <c:v>5:00</c:v>
                </c:pt>
                <c:pt idx="25">
                  <c:v>05:15:00</c:v>
                </c:pt>
                <c:pt idx="26">
                  <c:v>05:30:00</c:v>
                </c:pt>
                <c:pt idx="27">
                  <c:v>05:45:00</c:v>
                </c:pt>
                <c:pt idx="28">
                  <c:v>6:00</c:v>
                </c:pt>
                <c:pt idx="29">
                  <c:v>06:15:00</c:v>
                </c:pt>
                <c:pt idx="30">
                  <c:v>06:30:00</c:v>
                </c:pt>
                <c:pt idx="31">
                  <c:v>06:45:00</c:v>
                </c:pt>
                <c:pt idx="32">
                  <c:v>7:00</c:v>
                </c:pt>
                <c:pt idx="33">
                  <c:v>07:15:00</c:v>
                </c:pt>
                <c:pt idx="34">
                  <c:v>07:30:00</c:v>
                </c:pt>
                <c:pt idx="35">
                  <c:v>07:45:00</c:v>
                </c:pt>
                <c:pt idx="36">
                  <c:v>8:00</c:v>
                </c:pt>
                <c:pt idx="37">
                  <c:v>08:15:00</c:v>
                </c:pt>
                <c:pt idx="38">
                  <c:v>08:30:00</c:v>
                </c:pt>
                <c:pt idx="39">
                  <c:v>08:45:00</c:v>
                </c:pt>
                <c:pt idx="40">
                  <c:v>9:00</c:v>
                </c:pt>
                <c:pt idx="41">
                  <c:v>09:15:00</c:v>
                </c:pt>
                <c:pt idx="42">
                  <c:v>09:30:00</c:v>
                </c:pt>
                <c:pt idx="43">
                  <c:v>09:45:00</c:v>
                </c:pt>
                <c:pt idx="44">
                  <c:v>10:00</c:v>
                </c:pt>
                <c:pt idx="45">
                  <c:v>10:15:00</c:v>
                </c:pt>
                <c:pt idx="46">
                  <c:v>10:30:00</c:v>
                </c:pt>
                <c:pt idx="47">
                  <c:v>10:45:00</c:v>
                </c:pt>
                <c:pt idx="48">
                  <c:v>11:00</c:v>
                </c:pt>
                <c:pt idx="49">
                  <c:v>11:15:00</c:v>
                </c:pt>
                <c:pt idx="50">
                  <c:v>11:30:00</c:v>
                </c:pt>
                <c:pt idx="51">
                  <c:v>11:45:00</c:v>
                </c:pt>
                <c:pt idx="52">
                  <c:v>12:00</c:v>
                </c:pt>
                <c:pt idx="53">
                  <c:v>12:15:00</c:v>
                </c:pt>
                <c:pt idx="54">
                  <c:v>12:30:00</c:v>
                </c:pt>
                <c:pt idx="55">
                  <c:v>12:45:00</c:v>
                </c:pt>
                <c:pt idx="56">
                  <c:v>13:00</c:v>
                </c:pt>
                <c:pt idx="57">
                  <c:v>13:15:00</c:v>
                </c:pt>
                <c:pt idx="58">
                  <c:v>13:30:00</c:v>
                </c:pt>
                <c:pt idx="59">
                  <c:v>13:45:00</c:v>
                </c:pt>
                <c:pt idx="60">
                  <c:v>14:00</c:v>
                </c:pt>
                <c:pt idx="61">
                  <c:v>14:15:00</c:v>
                </c:pt>
                <c:pt idx="62">
                  <c:v>14:30:00</c:v>
                </c:pt>
                <c:pt idx="63">
                  <c:v>14:45:00</c:v>
                </c:pt>
                <c:pt idx="64">
                  <c:v>15:00</c:v>
                </c:pt>
                <c:pt idx="65">
                  <c:v>15:15:00</c:v>
                </c:pt>
                <c:pt idx="66">
                  <c:v>15:30:00</c:v>
                </c:pt>
                <c:pt idx="67">
                  <c:v>15:45:00</c:v>
                </c:pt>
                <c:pt idx="68">
                  <c:v>16:00</c:v>
                </c:pt>
                <c:pt idx="69">
                  <c:v>16:15:00</c:v>
                </c:pt>
                <c:pt idx="70">
                  <c:v>16:30:00</c:v>
                </c:pt>
                <c:pt idx="71">
                  <c:v>16:45:00</c:v>
                </c:pt>
                <c:pt idx="72">
                  <c:v>17:00</c:v>
                </c:pt>
                <c:pt idx="73">
                  <c:v>17:15:00</c:v>
                </c:pt>
                <c:pt idx="74">
                  <c:v>17:30:00</c:v>
                </c:pt>
                <c:pt idx="75">
                  <c:v>17:45:00</c:v>
                </c:pt>
                <c:pt idx="76">
                  <c:v>18:00</c:v>
                </c:pt>
                <c:pt idx="77">
                  <c:v>18:15:00</c:v>
                </c:pt>
                <c:pt idx="78">
                  <c:v>18:30:00</c:v>
                </c:pt>
                <c:pt idx="79">
                  <c:v>18:45:00</c:v>
                </c:pt>
                <c:pt idx="80">
                  <c:v>19:00</c:v>
                </c:pt>
                <c:pt idx="81">
                  <c:v>19:15:00</c:v>
                </c:pt>
                <c:pt idx="82">
                  <c:v>19:30:00</c:v>
                </c:pt>
                <c:pt idx="83">
                  <c:v>19:45:00</c:v>
                </c:pt>
                <c:pt idx="84">
                  <c:v>20:00</c:v>
                </c:pt>
                <c:pt idx="85">
                  <c:v>20:15:00</c:v>
                </c:pt>
                <c:pt idx="86">
                  <c:v>20:30:00</c:v>
                </c:pt>
                <c:pt idx="87">
                  <c:v>20:45:00</c:v>
                </c:pt>
                <c:pt idx="88">
                  <c:v>21:00</c:v>
                </c:pt>
                <c:pt idx="89">
                  <c:v>21:15:00</c:v>
                </c:pt>
                <c:pt idx="90">
                  <c:v>21:30:00</c:v>
                </c:pt>
                <c:pt idx="91">
                  <c:v>21:45:00</c:v>
                </c:pt>
                <c:pt idx="92">
                  <c:v>22:00</c:v>
                </c:pt>
                <c:pt idx="93">
                  <c:v>22:15:00</c:v>
                </c:pt>
                <c:pt idx="94">
                  <c:v>22:30:00</c:v>
                </c:pt>
                <c:pt idx="95">
                  <c:v>22:45:00</c:v>
                </c:pt>
              </c:strCache>
            </c:strRef>
          </c:cat>
          <c:val>
            <c:numRef>
              <c:f>Planilha1!$B$2:$B$100</c:f>
              <c:numCache>
                <c:formatCode>General</c:formatCode>
                <c:ptCount val="99"/>
                <c:pt idx="0" formatCode="#,##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.00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#,##0.00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#,##0.0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#,##0.00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#,##0.00">
                  <c:v>0</c:v>
                </c:pt>
                <c:pt idx="21">
                  <c:v>0.6108530133146457</c:v>
                </c:pt>
                <c:pt idx="22">
                  <c:v>1.2217060266292914</c:v>
                </c:pt>
                <c:pt idx="23">
                  <c:v>1.8325590399439369</c:v>
                </c:pt>
                <c:pt idx="24" formatCode="#,##0.00">
                  <c:v>2.4434120532585859</c:v>
                </c:pt>
                <c:pt idx="25">
                  <c:v>11.016652067273982</c:v>
                </c:pt>
                <c:pt idx="26">
                  <c:v>19.589892081289378</c:v>
                </c:pt>
                <c:pt idx="27">
                  <c:v>28.163132095304775</c:v>
                </c:pt>
                <c:pt idx="28" formatCode="#,##0.00">
                  <c:v>36.736372109320193</c:v>
                </c:pt>
                <c:pt idx="29">
                  <c:v>44.200197617379104</c:v>
                </c:pt>
                <c:pt idx="30">
                  <c:v>51.664023125438014</c:v>
                </c:pt>
                <c:pt idx="31">
                  <c:v>59.127848633496924</c:v>
                </c:pt>
                <c:pt idx="32" formatCode="#,##0.00">
                  <c:v>66.591674141555799</c:v>
                </c:pt>
                <c:pt idx="33">
                  <c:v>69.54461562718997</c:v>
                </c:pt>
                <c:pt idx="34">
                  <c:v>72.49755711282414</c:v>
                </c:pt>
                <c:pt idx="35">
                  <c:v>75.450498598458324</c:v>
                </c:pt>
                <c:pt idx="36" formatCode="#,##0.00">
                  <c:v>78.403440084092466</c:v>
                </c:pt>
                <c:pt idx="37">
                  <c:v>80.299325157673408</c:v>
                </c:pt>
                <c:pt idx="38">
                  <c:v>82.19521023125435</c:v>
                </c:pt>
                <c:pt idx="39">
                  <c:v>84.091095304835278</c:v>
                </c:pt>
                <c:pt idx="40" formatCode="#,##0.00">
                  <c:v>85.986980378416206</c:v>
                </c:pt>
                <c:pt idx="41">
                  <c:v>87.133850210231245</c:v>
                </c:pt>
                <c:pt idx="42">
                  <c:v>88.280720042046269</c:v>
                </c:pt>
                <c:pt idx="43">
                  <c:v>89.427589873861308</c:v>
                </c:pt>
                <c:pt idx="44" formatCode="#,##0.00">
                  <c:v>90.574459705676333</c:v>
                </c:pt>
                <c:pt idx="45">
                  <c:v>90.657803433777204</c:v>
                </c:pt>
                <c:pt idx="46">
                  <c:v>90.741147161878061</c:v>
                </c:pt>
                <c:pt idx="47">
                  <c:v>90.824490889978932</c:v>
                </c:pt>
                <c:pt idx="48" formatCode="#,##0.00">
                  <c:v>90.907834618079789</c:v>
                </c:pt>
                <c:pt idx="49">
                  <c:v>90.228714961457513</c:v>
                </c:pt>
                <c:pt idx="50">
                  <c:v>89.549595304835236</c:v>
                </c:pt>
                <c:pt idx="51">
                  <c:v>88.87047564821296</c:v>
                </c:pt>
                <c:pt idx="52" formatCode="#,##0.00">
                  <c:v>88.191355991590697</c:v>
                </c:pt>
                <c:pt idx="53">
                  <c:v>86.781502452697936</c:v>
                </c:pt>
                <c:pt idx="54">
                  <c:v>85.371648913805174</c:v>
                </c:pt>
                <c:pt idx="55">
                  <c:v>83.961795374912413</c:v>
                </c:pt>
                <c:pt idx="56" formatCode="#,##0.00">
                  <c:v>82.551941836019637</c:v>
                </c:pt>
                <c:pt idx="57">
                  <c:v>79.965620882971294</c:v>
                </c:pt>
                <c:pt idx="58">
                  <c:v>77.379299929922951</c:v>
                </c:pt>
                <c:pt idx="59">
                  <c:v>74.792978976874608</c:v>
                </c:pt>
                <c:pt idx="60" formatCode="#,##0.00">
                  <c:v>72.206658023826222</c:v>
                </c:pt>
                <c:pt idx="61">
                  <c:v>68.837715487035766</c:v>
                </c:pt>
                <c:pt idx="62">
                  <c:v>65.46877295024531</c:v>
                </c:pt>
                <c:pt idx="63">
                  <c:v>62.099830413454846</c:v>
                </c:pt>
                <c:pt idx="64" formatCode="#,##0.00">
                  <c:v>58.730887876664347</c:v>
                </c:pt>
                <c:pt idx="65">
                  <c:v>52.464468465311889</c:v>
                </c:pt>
                <c:pt idx="66">
                  <c:v>46.19804905395943</c:v>
                </c:pt>
                <c:pt idx="67">
                  <c:v>39.931629642606971</c:v>
                </c:pt>
                <c:pt idx="68" formatCode="#,##0.00">
                  <c:v>33.665210231254441</c:v>
                </c:pt>
                <c:pt idx="69">
                  <c:v>26.148963559915991</c:v>
                </c:pt>
                <c:pt idx="70">
                  <c:v>18.632716888577541</c:v>
                </c:pt>
                <c:pt idx="71">
                  <c:v>11.116470217239094</c:v>
                </c:pt>
                <c:pt idx="72" formatCode="#,##0.00">
                  <c:v>3.600223545900485</c:v>
                </c:pt>
                <c:pt idx="73">
                  <c:v>2.7764807288016797</c:v>
                </c:pt>
                <c:pt idx="74">
                  <c:v>1.9527379117028745</c:v>
                </c:pt>
                <c:pt idx="75">
                  <c:v>1.1289950946040694</c:v>
                </c:pt>
                <c:pt idx="76" formatCode="#,##0.00">
                  <c:v>0.30525227750525569</c:v>
                </c:pt>
                <c:pt idx="77">
                  <c:v>0.26295760336370011</c:v>
                </c:pt>
                <c:pt idx="78">
                  <c:v>0.22066292922214453</c:v>
                </c:pt>
                <c:pt idx="79">
                  <c:v>0.17836825508058896</c:v>
                </c:pt>
                <c:pt idx="80" formatCode="#,##0.00">
                  <c:v>0.13607358093903293</c:v>
                </c:pt>
                <c:pt idx="81">
                  <c:v>0.1340478276103714</c:v>
                </c:pt>
                <c:pt idx="82">
                  <c:v>0.13202207428170989</c:v>
                </c:pt>
                <c:pt idx="83">
                  <c:v>0.12999632095304836</c:v>
                </c:pt>
                <c:pt idx="84" formatCode="#,##0.00">
                  <c:v>0.1279705676243868</c:v>
                </c:pt>
                <c:pt idx="85">
                  <c:v>0.11310073580939035</c:v>
                </c:pt>
                <c:pt idx="86">
                  <c:v>9.8230903994393909E-2</c:v>
                </c:pt>
                <c:pt idx="87">
                  <c:v>8.336107217939745E-2</c:v>
                </c:pt>
                <c:pt idx="88" formatCode="#,##0.00">
                  <c:v>6.8491240364400838E-2</c:v>
                </c:pt>
                <c:pt idx="89">
                  <c:v>6.0270147161878083E-2</c:v>
                </c:pt>
                <c:pt idx="90">
                  <c:v>5.2049053959355329E-2</c:v>
                </c:pt>
                <c:pt idx="91">
                  <c:v>4.3827960756832582E-2</c:v>
                </c:pt>
                <c:pt idx="92" formatCode="#,##0.00">
                  <c:v>3.5606867554309737E-2</c:v>
                </c:pt>
                <c:pt idx="93">
                  <c:v>2.6705150665732352E-2</c:v>
                </c:pt>
                <c:pt idx="94">
                  <c:v>1.7803433777154966E-2</c:v>
                </c:pt>
                <c:pt idx="95">
                  <c:v>8.9017168885775783E-3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E-4654-B8C3-F07071E64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972640"/>
        <c:axId val="399973000"/>
      </c:lineChart>
      <c:catAx>
        <c:axId val="3999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973000"/>
        <c:crosses val="autoZero"/>
        <c:auto val="1"/>
        <c:lblAlgn val="ctr"/>
        <c:lblOffset val="100"/>
        <c:noMultiLvlLbl val="0"/>
      </c:catAx>
      <c:valAx>
        <c:axId val="39997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9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3</xdr:row>
      <xdr:rowOff>61912</xdr:rowOff>
    </xdr:from>
    <xdr:to>
      <xdr:col>18</xdr:col>
      <xdr:colOff>9525</xdr:colOff>
      <xdr:row>17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5EDC54-66AE-E35D-00D7-7CB1F0790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D26" sqref="D26"/>
    </sheetView>
  </sheetViews>
  <sheetFormatPr defaultRowHeight="15" x14ac:dyDescent="0.25"/>
  <cols>
    <col min="1" max="1" width="9.140625" style="4"/>
    <col min="2" max="2" width="13.7109375" style="4" bestFit="1" customWidth="1"/>
  </cols>
  <sheetData>
    <row r="1" spans="1:2" x14ac:dyDescent="0.25">
      <c r="A1" s="1" t="s">
        <v>0</v>
      </c>
      <c r="B1" s="1" t="s">
        <v>28</v>
      </c>
    </row>
    <row r="2" spans="1:2" x14ac:dyDescent="0.25">
      <c r="A2" s="2">
        <v>0.95833333333333337</v>
      </c>
      <c r="B2" s="10">
        <f>Plot!B3</f>
        <v>0</v>
      </c>
    </row>
    <row r="3" spans="1:2" x14ac:dyDescent="0.25">
      <c r="A3" s="3">
        <v>0.96875</v>
      </c>
      <c r="B3" s="4">
        <f>B2+(($B$6-B2)/($A$6-A2)*(A2-A3))</f>
        <v>0</v>
      </c>
    </row>
    <row r="4" spans="1:2" x14ac:dyDescent="0.25">
      <c r="A4" s="3">
        <v>0.97916666666666663</v>
      </c>
      <c r="B4" s="4">
        <f t="shared" ref="B4" si="0">B3+(($B$6-B3)/($A$6-A3)*(A3-A4))</f>
        <v>0</v>
      </c>
    </row>
    <row r="5" spans="1:2" x14ac:dyDescent="0.25">
      <c r="A5" s="3">
        <v>0.98958333333333337</v>
      </c>
      <c r="B5" s="4">
        <f>B4+(($B$6-B4)/($A$6-A4)*(A4-A5))</f>
        <v>0</v>
      </c>
    </row>
    <row r="6" spans="1:2" x14ac:dyDescent="0.25">
      <c r="A6" s="2">
        <v>0</v>
      </c>
      <c r="B6" s="10">
        <f>Plot!C3</f>
        <v>0</v>
      </c>
    </row>
    <row r="7" spans="1:2" x14ac:dyDescent="0.25">
      <c r="A7" s="3">
        <v>1.0416666666666666E-2</v>
      </c>
      <c r="B7" s="4">
        <f>B6+(($B$10-B6)/($A$10-A6)*(A7-A6))</f>
        <v>0</v>
      </c>
    </row>
    <row r="8" spans="1:2" x14ac:dyDescent="0.25">
      <c r="A8" s="3">
        <v>2.0833333333333332E-2</v>
      </c>
      <c r="B8" s="4">
        <f>B7+(($B$10-B7)/($A$10-A7)*(A8-A7))</f>
        <v>0</v>
      </c>
    </row>
    <row r="9" spans="1:2" x14ac:dyDescent="0.25">
      <c r="A9" s="3">
        <v>3.125E-2</v>
      </c>
      <c r="B9" s="4">
        <f>B8+(($B$10-B8)/($A$10-A8)*(A9-A8))</f>
        <v>0</v>
      </c>
    </row>
    <row r="10" spans="1:2" x14ac:dyDescent="0.25">
      <c r="A10" s="2">
        <v>4.1666666666666664E-2</v>
      </c>
      <c r="B10" s="10">
        <f>Plot!D3</f>
        <v>0</v>
      </c>
    </row>
    <row r="11" spans="1:2" x14ac:dyDescent="0.25">
      <c r="A11" s="3">
        <v>5.2083333333333336E-2</v>
      </c>
      <c r="B11" s="4">
        <f>B10+((B10-$B$14)/(A10-$A$14))*(A11-A10)</f>
        <v>0</v>
      </c>
    </row>
    <row r="12" spans="1:2" x14ac:dyDescent="0.25">
      <c r="A12" s="3">
        <v>6.25E-2</v>
      </c>
      <c r="B12" s="4">
        <f t="shared" ref="B12:B13" si="1">B11+((B11-$B$14)/(A11-$A$14))*(A12-A11)</f>
        <v>0</v>
      </c>
    </row>
    <row r="13" spans="1:2" x14ac:dyDescent="0.25">
      <c r="A13" s="3">
        <v>7.2916666666666671E-2</v>
      </c>
      <c r="B13" s="4">
        <f t="shared" si="1"/>
        <v>0</v>
      </c>
    </row>
    <row r="14" spans="1:2" x14ac:dyDescent="0.25">
      <c r="A14" s="2" t="s">
        <v>1</v>
      </c>
      <c r="B14" s="10">
        <f>Plot!E3</f>
        <v>0</v>
      </c>
    </row>
    <row r="15" spans="1:2" x14ac:dyDescent="0.25">
      <c r="A15" s="3">
        <v>9.375E-2</v>
      </c>
      <c r="B15" s="4">
        <f>B14+((B14-$B$18)/(A14-$A$18))*(A15-A14)</f>
        <v>0</v>
      </c>
    </row>
    <row r="16" spans="1:2" x14ac:dyDescent="0.25">
      <c r="A16" s="3">
        <v>0.10416666666666667</v>
      </c>
      <c r="B16" s="4">
        <f>B15+((B15-$B$18)/(A15-$A$18))*(A16-A15)</f>
        <v>0</v>
      </c>
    </row>
    <row r="17" spans="1:12" x14ac:dyDescent="0.25">
      <c r="A17" s="3">
        <v>0.11458333333333333</v>
      </c>
      <c r="B17" s="4">
        <f>B16+((B16-$B$18)/(A16-$A$18))*(A17-A16)</f>
        <v>0</v>
      </c>
    </row>
    <row r="18" spans="1:12" x14ac:dyDescent="0.25">
      <c r="A18" s="2">
        <v>0.125</v>
      </c>
      <c r="B18" s="10">
        <f>Plot!F3</f>
        <v>0</v>
      </c>
      <c r="L18" s="5"/>
    </row>
    <row r="19" spans="1:12" x14ac:dyDescent="0.25">
      <c r="A19" s="3">
        <v>0.13541666666666666</v>
      </c>
      <c r="B19" s="4">
        <f>B18+((B18-$B$22)/(A18-$A$22))*(A19-A18)</f>
        <v>0</v>
      </c>
    </row>
    <row r="20" spans="1:12" x14ac:dyDescent="0.25">
      <c r="A20" s="3">
        <v>0.14583333333333331</v>
      </c>
      <c r="B20" s="4">
        <f t="shared" ref="B20:B21" si="2">B19+((B19-$B$22)/(A19-$A$22))*(A20-A19)</f>
        <v>0</v>
      </c>
    </row>
    <row r="21" spans="1:12" x14ac:dyDescent="0.25">
      <c r="A21" s="3">
        <v>0.15624999999999997</v>
      </c>
      <c r="B21" s="4">
        <f t="shared" si="2"/>
        <v>0</v>
      </c>
    </row>
    <row r="22" spans="1:12" x14ac:dyDescent="0.25">
      <c r="A22" s="2" t="s">
        <v>2</v>
      </c>
      <c r="B22" s="10">
        <f>Plot!G3</f>
        <v>0</v>
      </c>
    </row>
    <row r="23" spans="1:12" x14ac:dyDescent="0.25">
      <c r="A23" s="3">
        <v>0.17708333333333331</v>
      </c>
      <c r="B23" s="4">
        <f>B22+((B22-$B$26)/(A22-$A$26))*(A23-A22)</f>
        <v>0.6108530133146457</v>
      </c>
    </row>
    <row r="24" spans="1:12" x14ac:dyDescent="0.25">
      <c r="A24" s="3">
        <v>0.18749999999999997</v>
      </c>
      <c r="B24" s="4">
        <f t="shared" ref="B24:B25" si="3">B23+((B23-$B$26)/(A23-$A$26))*(A24-A23)</f>
        <v>1.2217060266292914</v>
      </c>
    </row>
    <row r="25" spans="1:12" x14ac:dyDescent="0.25">
      <c r="A25" s="3">
        <v>0.19791666666666663</v>
      </c>
      <c r="B25" s="4">
        <f t="shared" si="3"/>
        <v>1.8325590399439369</v>
      </c>
    </row>
    <row r="26" spans="1:12" x14ac:dyDescent="0.25">
      <c r="A26" s="2" t="s">
        <v>3</v>
      </c>
      <c r="B26" s="10">
        <f>Plot!H3</f>
        <v>2.4434120532585859</v>
      </c>
    </row>
    <row r="27" spans="1:12" x14ac:dyDescent="0.25">
      <c r="A27" s="3">
        <v>0.21875</v>
      </c>
      <c r="B27" s="4">
        <f>B26+((B26-$B$30)/(A26-$A$30))*(A27-A26)</f>
        <v>11.016652067273982</v>
      </c>
    </row>
    <row r="28" spans="1:12" x14ac:dyDescent="0.25">
      <c r="A28" s="3">
        <v>0.22916666666666666</v>
      </c>
      <c r="B28" s="4">
        <f t="shared" ref="B28:B29" si="4">B27+((B27-$B$30)/(A27-$A$30))*(A28-A27)</f>
        <v>19.589892081289378</v>
      </c>
    </row>
    <row r="29" spans="1:12" x14ac:dyDescent="0.25">
      <c r="A29" s="3">
        <v>0.23958333333333331</v>
      </c>
      <c r="B29" s="4">
        <f t="shared" si="4"/>
        <v>28.163132095304775</v>
      </c>
    </row>
    <row r="30" spans="1:12" x14ac:dyDescent="0.25">
      <c r="A30" s="2" t="s">
        <v>4</v>
      </c>
      <c r="B30" s="10">
        <f>Plot!I3</f>
        <v>36.736372109320193</v>
      </c>
    </row>
    <row r="31" spans="1:12" x14ac:dyDescent="0.25">
      <c r="A31" s="3">
        <v>0.26041666666666669</v>
      </c>
      <c r="B31" s="4">
        <f>B30+((B30-$B$34)/(A30-$A$34))*(A31-A30)</f>
        <v>44.200197617379104</v>
      </c>
    </row>
    <row r="32" spans="1:12" x14ac:dyDescent="0.25">
      <c r="A32" s="3">
        <v>0.27083333333333337</v>
      </c>
      <c r="B32" s="4">
        <f t="shared" ref="B32:B33" si="5">B31+((B31-$B$34)/(A31-$A$34))*(A32-A31)</f>
        <v>51.664023125438014</v>
      </c>
    </row>
    <row r="33" spans="1:2" x14ac:dyDescent="0.25">
      <c r="A33" s="3">
        <v>0.28125000000000006</v>
      </c>
      <c r="B33" s="4">
        <f t="shared" si="5"/>
        <v>59.127848633496924</v>
      </c>
    </row>
    <row r="34" spans="1:2" x14ac:dyDescent="0.25">
      <c r="A34" s="2" t="s">
        <v>5</v>
      </c>
      <c r="B34" s="10">
        <f>Plot!J3</f>
        <v>66.591674141555799</v>
      </c>
    </row>
    <row r="35" spans="1:2" x14ac:dyDescent="0.25">
      <c r="A35" s="3">
        <v>0.30208333333333337</v>
      </c>
      <c r="B35" s="4">
        <f>B34+((B34-$B$38)/(A34-$A$38))*(A35-A34)</f>
        <v>69.54461562718997</v>
      </c>
    </row>
    <row r="36" spans="1:2" x14ac:dyDescent="0.25">
      <c r="A36" s="3">
        <v>0.31250000000000006</v>
      </c>
      <c r="B36" s="4">
        <f t="shared" ref="B36:B37" si="6">B35+((B35-$B$38)/(A35-$A$38))*(A36-A35)</f>
        <v>72.49755711282414</v>
      </c>
    </row>
    <row r="37" spans="1:2" x14ac:dyDescent="0.25">
      <c r="A37" s="3">
        <v>0.32291666666666674</v>
      </c>
      <c r="B37" s="4">
        <f t="shared" si="6"/>
        <v>75.450498598458324</v>
      </c>
    </row>
    <row r="38" spans="1:2" x14ac:dyDescent="0.25">
      <c r="A38" s="2" t="s">
        <v>6</v>
      </c>
      <c r="B38" s="10">
        <f>Plot!K3</f>
        <v>78.403440084092466</v>
      </c>
    </row>
    <row r="39" spans="1:2" x14ac:dyDescent="0.25">
      <c r="A39" s="3">
        <v>0.34375</v>
      </c>
      <c r="B39" s="4">
        <f>B38+((B38-$B$42)/(A38-$A$42))*(A39-A38)</f>
        <v>80.299325157673408</v>
      </c>
    </row>
    <row r="40" spans="1:2" x14ac:dyDescent="0.25">
      <c r="A40" s="3">
        <v>0.35416666666666669</v>
      </c>
      <c r="B40" s="4">
        <f t="shared" ref="B40:B41" si="7">B39+((B39-$B$42)/(A39-$A$42))*(A40-A39)</f>
        <v>82.19521023125435</v>
      </c>
    </row>
    <row r="41" spans="1:2" x14ac:dyDescent="0.25">
      <c r="A41" s="3">
        <v>0.36458333333333337</v>
      </c>
      <c r="B41" s="4">
        <f t="shared" si="7"/>
        <v>84.091095304835278</v>
      </c>
    </row>
    <row r="42" spans="1:2" x14ac:dyDescent="0.25">
      <c r="A42" s="2" t="s">
        <v>7</v>
      </c>
      <c r="B42" s="10">
        <f>Plot!L3</f>
        <v>85.986980378416206</v>
      </c>
    </row>
    <row r="43" spans="1:2" x14ac:dyDescent="0.25">
      <c r="A43" s="3">
        <v>0.38541666666666669</v>
      </c>
      <c r="B43" s="4">
        <f>B42+((B42-$B$46)/(A42-$A$46))*(A43-A42)</f>
        <v>87.133850210231245</v>
      </c>
    </row>
    <row r="44" spans="1:2" x14ac:dyDescent="0.25">
      <c r="A44" s="3">
        <v>0.39583333333333337</v>
      </c>
      <c r="B44" s="4">
        <f t="shared" ref="B44:B45" si="8">B43+((B43-$B$46)/(A43-$A$46))*(A44-A43)</f>
        <v>88.280720042046269</v>
      </c>
    </row>
    <row r="45" spans="1:2" x14ac:dyDescent="0.25">
      <c r="A45" s="3">
        <v>0.40625000000000006</v>
      </c>
      <c r="B45" s="4">
        <f t="shared" si="8"/>
        <v>89.427589873861308</v>
      </c>
    </row>
    <row r="46" spans="1:2" x14ac:dyDescent="0.25">
      <c r="A46" s="2" t="s">
        <v>8</v>
      </c>
      <c r="B46" s="10">
        <f>Plot!M3</f>
        <v>90.574459705676333</v>
      </c>
    </row>
    <row r="47" spans="1:2" x14ac:dyDescent="0.25">
      <c r="A47" s="3">
        <v>0.42708333333333337</v>
      </c>
      <c r="B47" s="4">
        <f>B46+((B46-$B$50)/(A46-$A$50))*(A47-A46)</f>
        <v>90.657803433777204</v>
      </c>
    </row>
    <row r="48" spans="1:2" x14ac:dyDescent="0.25">
      <c r="A48" s="3">
        <v>0.43750000000000006</v>
      </c>
      <c r="B48" s="4">
        <f t="shared" ref="B48:B49" si="9">B47+((B47-$B$50)/(A47-$A$50))*(A48-A47)</f>
        <v>90.741147161878061</v>
      </c>
    </row>
    <row r="49" spans="1:2" x14ac:dyDescent="0.25">
      <c r="A49" s="3">
        <v>0.44791666666666674</v>
      </c>
      <c r="B49" s="4">
        <f t="shared" si="9"/>
        <v>90.824490889978932</v>
      </c>
    </row>
    <row r="50" spans="1:2" x14ac:dyDescent="0.25">
      <c r="A50" s="2" t="s">
        <v>9</v>
      </c>
      <c r="B50" s="10">
        <f>Plot!N3</f>
        <v>90.907834618079789</v>
      </c>
    </row>
    <row r="51" spans="1:2" x14ac:dyDescent="0.25">
      <c r="A51" s="3">
        <v>0.46875</v>
      </c>
      <c r="B51" s="4">
        <f>B50+((B50-$B$54)/(A50-$A$54))*(A51-A50)</f>
        <v>90.228714961457513</v>
      </c>
    </row>
    <row r="52" spans="1:2" x14ac:dyDescent="0.25">
      <c r="A52" s="3">
        <v>0.47916666666666669</v>
      </c>
      <c r="B52" s="4">
        <f t="shared" ref="B52:B53" si="10">B51+((B51-$B$54)/(A51-$A$54))*(A52-A51)</f>
        <v>89.549595304835236</v>
      </c>
    </row>
    <row r="53" spans="1:2" x14ac:dyDescent="0.25">
      <c r="A53" s="3">
        <v>0.48958333333333337</v>
      </c>
      <c r="B53" s="4">
        <f t="shared" si="10"/>
        <v>88.87047564821296</v>
      </c>
    </row>
    <row r="54" spans="1:2" x14ac:dyDescent="0.25">
      <c r="A54" s="2" t="s">
        <v>10</v>
      </c>
      <c r="B54" s="10">
        <f>Plot!O3</f>
        <v>88.191355991590697</v>
      </c>
    </row>
    <row r="55" spans="1:2" x14ac:dyDescent="0.25">
      <c r="A55" s="3">
        <v>0.51041666666666663</v>
      </c>
      <c r="B55" s="4">
        <f>B54+((B54-$B$58)/(A54-$A$58))*(A55-A54)</f>
        <v>86.781502452697936</v>
      </c>
    </row>
    <row r="56" spans="1:2" x14ac:dyDescent="0.25">
      <c r="A56" s="3">
        <v>0.52083333333333326</v>
      </c>
      <c r="B56" s="4">
        <f t="shared" ref="B56:B57" si="11">B55+((B55-$B$58)/(A55-$A$58))*(A56-A55)</f>
        <v>85.371648913805174</v>
      </c>
    </row>
    <row r="57" spans="1:2" x14ac:dyDescent="0.25">
      <c r="A57" s="3">
        <v>0.53124999999999989</v>
      </c>
      <c r="B57" s="4">
        <f t="shared" si="11"/>
        <v>83.961795374912413</v>
      </c>
    </row>
    <row r="58" spans="1:2" x14ac:dyDescent="0.25">
      <c r="A58" s="2" t="s">
        <v>11</v>
      </c>
      <c r="B58" s="10">
        <f>Plot!P3</f>
        <v>82.551941836019637</v>
      </c>
    </row>
    <row r="59" spans="1:2" x14ac:dyDescent="0.25">
      <c r="A59" s="3">
        <v>0.55208333333333326</v>
      </c>
      <c r="B59" s="4">
        <f>B58+((B58-$B$62)/(A58-$A$62))*(A59-A58)</f>
        <v>79.965620882971294</v>
      </c>
    </row>
    <row r="60" spans="1:2" x14ac:dyDescent="0.25">
      <c r="A60" s="3">
        <v>0.56249999999999989</v>
      </c>
      <c r="B60" s="4">
        <f t="shared" ref="B60:B61" si="12">B59+((B59-$B$62)/(A59-$A$62))*(A60-A59)</f>
        <v>77.379299929922951</v>
      </c>
    </row>
    <row r="61" spans="1:2" x14ac:dyDescent="0.25">
      <c r="A61" s="3">
        <v>0.57291666666666652</v>
      </c>
      <c r="B61" s="4">
        <f t="shared" si="12"/>
        <v>74.792978976874608</v>
      </c>
    </row>
    <row r="62" spans="1:2" x14ac:dyDescent="0.25">
      <c r="A62" s="2" t="s">
        <v>12</v>
      </c>
      <c r="B62" s="10">
        <f>Plot!Q3</f>
        <v>72.206658023826222</v>
      </c>
    </row>
    <row r="63" spans="1:2" x14ac:dyDescent="0.25">
      <c r="A63" s="3">
        <v>0.59375</v>
      </c>
      <c r="B63" s="4">
        <f>B62+((B62-$B$66)/(A62-$A$66))*(A63-A62)</f>
        <v>68.837715487035766</v>
      </c>
    </row>
    <row r="64" spans="1:2" x14ac:dyDescent="0.25">
      <c r="A64" s="3">
        <v>0.60416666666666663</v>
      </c>
      <c r="B64" s="4">
        <f t="shared" ref="B64:B65" si="13">B63+((B63-$B$66)/(A63-$A$66))*(A64-A63)</f>
        <v>65.46877295024531</v>
      </c>
    </row>
    <row r="65" spans="1:2" x14ac:dyDescent="0.25">
      <c r="A65" s="3">
        <v>0.61458333333333326</v>
      </c>
      <c r="B65" s="4">
        <f t="shared" si="13"/>
        <v>62.099830413454846</v>
      </c>
    </row>
    <row r="66" spans="1:2" x14ac:dyDescent="0.25">
      <c r="A66" s="2" t="s">
        <v>13</v>
      </c>
      <c r="B66" s="10">
        <f>Plot!R3</f>
        <v>58.730887876664347</v>
      </c>
    </row>
    <row r="67" spans="1:2" x14ac:dyDescent="0.25">
      <c r="A67" s="3">
        <v>0.63541666666666663</v>
      </c>
      <c r="B67" s="4">
        <f>B66+((B66-$B$70)/(A66-$A$70))*(A67-A66)</f>
        <v>52.464468465311889</v>
      </c>
    </row>
    <row r="68" spans="1:2" x14ac:dyDescent="0.25">
      <c r="A68" s="3">
        <v>0.64583333333333326</v>
      </c>
      <c r="B68" s="4">
        <f t="shared" ref="B68:B69" si="14">B67+((B67-$B$70)/(A67-$A$70))*(A68-A67)</f>
        <v>46.19804905395943</v>
      </c>
    </row>
    <row r="69" spans="1:2" x14ac:dyDescent="0.25">
      <c r="A69" s="3">
        <v>0.65624999999999989</v>
      </c>
      <c r="B69" s="4">
        <f t="shared" si="14"/>
        <v>39.931629642606971</v>
      </c>
    </row>
    <row r="70" spans="1:2" x14ac:dyDescent="0.25">
      <c r="A70" s="2" t="s">
        <v>14</v>
      </c>
      <c r="B70" s="10">
        <f>Plot!S3</f>
        <v>33.665210231254441</v>
      </c>
    </row>
    <row r="71" spans="1:2" x14ac:dyDescent="0.25">
      <c r="A71" s="3">
        <v>0.67708333333333326</v>
      </c>
      <c r="B71" s="4">
        <f>B70+((B70-$B$74)/(A70-$A$74))*(A71-A70)</f>
        <v>26.148963559915991</v>
      </c>
    </row>
    <row r="72" spans="1:2" x14ac:dyDescent="0.25">
      <c r="A72" s="3">
        <v>0.68749999999999989</v>
      </c>
      <c r="B72" s="4">
        <f t="shared" ref="B72:B73" si="15">B71+((B71-$B$74)/(A71-$A$74))*(A72-A71)</f>
        <v>18.632716888577541</v>
      </c>
    </row>
    <row r="73" spans="1:2" x14ac:dyDescent="0.25">
      <c r="A73" s="3">
        <v>0.69791666666666652</v>
      </c>
      <c r="B73" s="4">
        <f t="shared" si="15"/>
        <v>11.116470217239094</v>
      </c>
    </row>
    <row r="74" spans="1:2" x14ac:dyDescent="0.25">
      <c r="A74" s="2" t="s">
        <v>15</v>
      </c>
      <c r="B74" s="10">
        <f>Plot!T3</f>
        <v>3.600223545900485</v>
      </c>
    </row>
    <row r="75" spans="1:2" x14ac:dyDescent="0.25">
      <c r="A75" s="3">
        <v>0.71875</v>
      </c>
      <c r="B75" s="4">
        <f>B74+((B74-$B$78)/(A74-$A$78))*(A75-A74)</f>
        <v>2.7764807288016797</v>
      </c>
    </row>
    <row r="76" spans="1:2" x14ac:dyDescent="0.25">
      <c r="A76" s="3">
        <v>0.72916666666666663</v>
      </c>
      <c r="B76" s="4">
        <f t="shared" ref="B76:B77" si="16">B75+((B75-$B$78)/(A75-$A$78))*(A76-A75)</f>
        <v>1.9527379117028745</v>
      </c>
    </row>
    <row r="77" spans="1:2" x14ac:dyDescent="0.25">
      <c r="A77" s="3">
        <v>0.73958333333333326</v>
      </c>
      <c r="B77" s="4">
        <f t="shared" si="16"/>
        <v>1.1289950946040694</v>
      </c>
    </row>
    <row r="78" spans="1:2" x14ac:dyDescent="0.25">
      <c r="A78" s="2" t="s">
        <v>16</v>
      </c>
      <c r="B78" s="10">
        <f>Plot!U3</f>
        <v>0.30525227750525569</v>
      </c>
    </row>
    <row r="79" spans="1:2" x14ac:dyDescent="0.25">
      <c r="A79" s="3">
        <v>0.76041666666666663</v>
      </c>
      <c r="B79" s="4">
        <f>B78+((B78-$B$82)/(A78-$A$82))*(A79-A78)</f>
        <v>0.26295760336370011</v>
      </c>
    </row>
    <row r="80" spans="1:2" x14ac:dyDescent="0.25">
      <c r="A80" s="3">
        <v>0.77083333333333326</v>
      </c>
      <c r="B80" s="4">
        <f t="shared" ref="B80:B81" si="17">B79+((B79-$B$82)/(A79-$A$82))*(A80-A79)</f>
        <v>0.22066292922214453</v>
      </c>
    </row>
    <row r="81" spans="1:2" x14ac:dyDescent="0.25">
      <c r="A81" s="3">
        <v>0.78124999999999989</v>
      </c>
      <c r="B81" s="4">
        <f t="shared" si="17"/>
        <v>0.17836825508058896</v>
      </c>
    </row>
    <row r="82" spans="1:2" x14ac:dyDescent="0.25">
      <c r="A82" s="2" t="s">
        <v>17</v>
      </c>
      <c r="B82" s="10">
        <f>Plot!V3</f>
        <v>0.13607358093903293</v>
      </c>
    </row>
    <row r="83" spans="1:2" x14ac:dyDescent="0.25">
      <c r="A83" s="3">
        <v>0.80208333333333326</v>
      </c>
      <c r="B83" s="4">
        <f>B82+((B82-$B$86)/(A82-$A$86))*(A83-A82)</f>
        <v>0.1340478276103714</v>
      </c>
    </row>
    <row r="84" spans="1:2" x14ac:dyDescent="0.25">
      <c r="A84" s="3">
        <v>0.81249999999999989</v>
      </c>
      <c r="B84" s="4">
        <f t="shared" ref="B84:B85" si="18">B83+((B83-$B$86)/(A83-$A$86))*(A84-A83)</f>
        <v>0.13202207428170989</v>
      </c>
    </row>
    <row r="85" spans="1:2" x14ac:dyDescent="0.25">
      <c r="A85" s="3">
        <v>0.82291666666666652</v>
      </c>
      <c r="B85" s="4">
        <f t="shared" si="18"/>
        <v>0.12999632095304836</v>
      </c>
    </row>
    <row r="86" spans="1:2" x14ac:dyDescent="0.25">
      <c r="A86" s="2" t="s">
        <v>18</v>
      </c>
      <c r="B86" s="10">
        <f>Plot!W3</f>
        <v>0.1279705676243868</v>
      </c>
    </row>
    <row r="87" spans="1:2" x14ac:dyDescent="0.25">
      <c r="A87" s="3">
        <v>0.84375</v>
      </c>
      <c r="B87" s="4">
        <f>B86+((B86-$B$90)/(A86-$A$90))*(A87-A86)</f>
        <v>0.11310073580939035</v>
      </c>
    </row>
    <row r="88" spans="1:2" x14ac:dyDescent="0.25">
      <c r="A88" s="3">
        <v>0.85416666666666663</v>
      </c>
      <c r="B88" s="4">
        <f t="shared" ref="B88:B89" si="19">B87+((B87-$B$90)/(A87-$A$90))*(A88-A87)</f>
        <v>9.8230903994393909E-2</v>
      </c>
    </row>
    <row r="89" spans="1:2" x14ac:dyDescent="0.25">
      <c r="A89" s="3">
        <v>0.86458333333333326</v>
      </c>
      <c r="B89" s="4">
        <f t="shared" si="19"/>
        <v>8.336107217939745E-2</v>
      </c>
    </row>
    <row r="90" spans="1:2" x14ac:dyDescent="0.25">
      <c r="A90" s="2" t="s">
        <v>19</v>
      </c>
      <c r="B90" s="10">
        <f>Plot!X3</f>
        <v>6.8491240364400838E-2</v>
      </c>
    </row>
    <row r="91" spans="1:2" x14ac:dyDescent="0.25">
      <c r="A91" s="3">
        <v>0.88541666666666663</v>
      </c>
      <c r="B91" s="4">
        <f>B90+((B90-$B$94)/(A90-$A$94))*(A91-A90)</f>
        <v>6.0270147161878083E-2</v>
      </c>
    </row>
    <row r="92" spans="1:2" x14ac:dyDescent="0.25">
      <c r="A92" s="3">
        <v>0.89583333333333326</v>
      </c>
      <c r="B92" s="4">
        <f t="shared" ref="B92:B93" si="20">B91+((B91-$B$94)/(A91-$A$94))*(A92-A91)</f>
        <v>5.2049053959355329E-2</v>
      </c>
    </row>
    <row r="93" spans="1:2" x14ac:dyDescent="0.25">
      <c r="A93" s="3">
        <v>0.90624999999999989</v>
      </c>
      <c r="B93" s="4">
        <f t="shared" si="20"/>
        <v>4.3827960756832582E-2</v>
      </c>
    </row>
    <row r="94" spans="1:2" x14ac:dyDescent="0.25">
      <c r="A94" s="2" t="s">
        <v>20</v>
      </c>
      <c r="B94" s="10">
        <f>Plot!Y3</f>
        <v>3.5606867554309737E-2</v>
      </c>
    </row>
    <row r="95" spans="1:2" x14ac:dyDescent="0.25">
      <c r="A95" s="3">
        <v>0.92708333333333326</v>
      </c>
      <c r="B95" s="4">
        <f>B94+((B94-$B$2)/(A94-$A$2))*(A95-A94)</f>
        <v>2.6705150665732352E-2</v>
      </c>
    </row>
    <row r="96" spans="1:2" x14ac:dyDescent="0.25">
      <c r="A96" s="3">
        <v>0.93749999999999989</v>
      </c>
      <c r="B96" s="4">
        <f t="shared" ref="B96:B97" si="21">B95+((B95-$B$2)/(A95-$A$2))*(A96-A95)</f>
        <v>1.7803433777154966E-2</v>
      </c>
    </row>
    <row r="97" spans="1:2" x14ac:dyDescent="0.25">
      <c r="A97" s="3">
        <v>0.94791666666666652</v>
      </c>
      <c r="B97" s="4">
        <f t="shared" si="21"/>
        <v>8.9017168885775783E-3</v>
      </c>
    </row>
    <row r="98" spans="1:2" x14ac:dyDescent="0.25">
      <c r="A98" s="3"/>
    </row>
    <row r="99" spans="1:2" x14ac:dyDescent="0.25">
      <c r="A99" s="3"/>
    </row>
    <row r="100" spans="1:2" x14ac:dyDescent="0.25">
      <c r="A100" s="3"/>
    </row>
  </sheetData>
  <autoFilter ref="A1:L97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C4EE-D3A2-4920-89E4-A384C7E575F9}">
  <dimension ref="A2:Z30"/>
  <sheetViews>
    <sheetView workbookViewId="0">
      <selection activeCell="H8" sqref="H8"/>
    </sheetView>
  </sheetViews>
  <sheetFormatPr defaultRowHeight="15" x14ac:dyDescent="0.25"/>
  <cols>
    <col min="1" max="1" width="14.85546875" customWidth="1"/>
  </cols>
  <sheetData>
    <row r="2" spans="1:26" x14ac:dyDescent="0.25">
      <c r="B2" s="6" t="s">
        <v>24</v>
      </c>
      <c r="C2" s="6" t="s">
        <v>21</v>
      </c>
      <c r="D2" s="6" t="s">
        <v>22</v>
      </c>
      <c r="E2" s="6" t="s">
        <v>1</v>
      </c>
      <c r="F2" s="6" t="s">
        <v>23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15</v>
      </c>
      <c r="U2" s="6" t="s">
        <v>16</v>
      </c>
      <c r="V2" s="6" t="s">
        <v>17</v>
      </c>
      <c r="W2" s="6" t="s">
        <v>18</v>
      </c>
      <c r="X2" s="6" t="s">
        <v>19</v>
      </c>
      <c r="Y2" s="6" t="s">
        <v>20</v>
      </c>
      <c r="Z2" s="6"/>
    </row>
    <row r="3" spans="1:26" x14ac:dyDescent="0.25">
      <c r="A3" s="7" t="s">
        <v>32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2.4434120532585859</v>
      </c>
      <c r="I3" s="8">
        <v>36.736372109320193</v>
      </c>
      <c r="J3" s="8">
        <v>66.591674141555799</v>
      </c>
      <c r="K3" s="8">
        <v>78.403440084092466</v>
      </c>
      <c r="L3" s="8">
        <v>85.986980378416206</v>
      </c>
      <c r="M3" s="8">
        <v>90.574459705676333</v>
      </c>
      <c r="N3" s="8">
        <v>90.907834618079789</v>
      </c>
      <c r="O3" s="8">
        <v>88.191355991590697</v>
      </c>
      <c r="P3" s="8">
        <v>82.551941836019637</v>
      </c>
      <c r="Q3" s="8">
        <v>72.206658023826222</v>
      </c>
      <c r="R3" s="8">
        <v>58.730887876664347</v>
      </c>
      <c r="S3" s="8">
        <v>33.665210231254441</v>
      </c>
      <c r="T3" s="8">
        <v>3.600223545900485</v>
      </c>
      <c r="U3" s="8">
        <v>0.30525227750525569</v>
      </c>
      <c r="V3" s="8">
        <v>0.13607358093903293</v>
      </c>
      <c r="W3" s="8">
        <v>0.1279705676243868</v>
      </c>
      <c r="X3" s="8">
        <v>6.8491240364400838E-2</v>
      </c>
      <c r="Y3" s="8">
        <v>3.5606867554309737E-2</v>
      </c>
      <c r="Z3" s="8"/>
    </row>
    <row r="6" spans="1:26" x14ac:dyDescent="0.25">
      <c r="B6" s="8"/>
    </row>
    <row r="7" spans="1:26" x14ac:dyDescent="0.25">
      <c r="B7" s="8"/>
      <c r="C7" s="8"/>
      <c r="D7" s="9"/>
    </row>
    <row r="8" spans="1:26" x14ac:dyDescent="0.25">
      <c r="B8" s="8"/>
      <c r="C8" s="8"/>
      <c r="D8" s="9"/>
    </row>
    <row r="9" spans="1:26" x14ac:dyDescent="0.25">
      <c r="B9" s="8"/>
      <c r="C9" s="8"/>
    </row>
    <row r="10" spans="1:26" x14ac:dyDescent="0.25">
      <c r="B10" s="8"/>
      <c r="C10" s="8"/>
    </row>
    <row r="11" spans="1:26" x14ac:dyDescent="0.25">
      <c r="B11" s="8"/>
      <c r="C11" s="8"/>
    </row>
    <row r="12" spans="1:26" x14ac:dyDescent="0.25">
      <c r="B12" s="8"/>
      <c r="C12" s="8"/>
    </row>
    <row r="13" spans="1:26" x14ac:dyDescent="0.25">
      <c r="B13" s="8"/>
      <c r="C13" s="8"/>
    </row>
    <row r="14" spans="1:26" x14ac:dyDescent="0.25">
      <c r="B14" s="8"/>
      <c r="C14" s="8"/>
    </row>
    <row r="15" spans="1:26" x14ac:dyDescent="0.25">
      <c r="B15" s="8"/>
      <c r="C15" s="8"/>
    </row>
    <row r="16" spans="1:26" x14ac:dyDescent="0.25">
      <c r="B16" s="8"/>
      <c r="C16" s="8"/>
    </row>
    <row r="17" spans="2:3" x14ac:dyDescent="0.25">
      <c r="B17" s="8"/>
      <c r="C17" s="8"/>
    </row>
    <row r="18" spans="2:3" x14ac:dyDescent="0.25">
      <c r="B18" s="8"/>
      <c r="C18" s="8"/>
    </row>
    <row r="19" spans="2:3" x14ac:dyDescent="0.25">
      <c r="B19" s="8"/>
      <c r="C19" s="8"/>
    </row>
    <row r="20" spans="2:3" x14ac:dyDescent="0.25">
      <c r="B20" s="8"/>
      <c r="C20" s="8"/>
    </row>
    <row r="21" spans="2:3" x14ac:dyDescent="0.25">
      <c r="B21" s="8"/>
      <c r="C21" s="8"/>
    </row>
    <row r="22" spans="2:3" x14ac:dyDescent="0.25">
      <c r="B22" s="8"/>
      <c r="C22" s="8"/>
    </row>
    <row r="23" spans="2:3" x14ac:dyDescent="0.25">
      <c r="B23" s="8"/>
      <c r="C23" s="8"/>
    </row>
    <row r="24" spans="2:3" x14ac:dyDescent="0.25">
      <c r="B24" s="8"/>
      <c r="C24" s="8"/>
    </row>
    <row r="25" spans="2:3" x14ac:dyDescent="0.25">
      <c r="B25" s="8"/>
      <c r="C25" s="8"/>
    </row>
    <row r="26" spans="2:3" x14ac:dyDescent="0.25">
      <c r="B26" s="8"/>
      <c r="C26" s="8"/>
    </row>
    <row r="27" spans="2:3" x14ac:dyDescent="0.25">
      <c r="B27" s="8"/>
      <c r="C27" s="8"/>
    </row>
    <row r="28" spans="2:3" x14ac:dyDescent="0.25">
      <c r="B28" s="8"/>
      <c r="C28" s="8"/>
    </row>
    <row r="29" spans="2:3" x14ac:dyDescent="0.25">
      <c r="B29" s="8"/>
      <c r="C29" s="8"/>
    </row>
    <row r="30" spans="2:3" x14ac:dyDescent="0.25">
      <c r="C30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45F4-9596-461A-B98E-44121E8E3DFC}">
  <dimension ref="A1:Z19"/>
  <sheetViews>
    <sheetView topLeftCell="H1" workbookViewId="0">
      <selection activeCell="C8" sqref="C8:Z8"/>
    </sheetView>
  </sheetViews>
  <sheetFormatPr defaultRowHeight="15" x14ac:dyDescent="0.25"/>
  <cols>
    <col min="1" max="1" width="13.140625" customWidth="1"/>
    <col min="3" max="26" width="9.140625" style="11"/>
  </cols>
  <sheetData>
    <row r="1" spans="1:26" x14ac:dyDescent="0.25">
      <c r="A1" s="13" t="s">
        <v>29</v>
      </c>
      <c r="C1" s="6" t="s">
        <v>24</v>
      </c>
      <c r="D1" s="6" t="s">
        <v>21</v>
      </c>
      <c r="E1" s="6" t="s">
        <v>22</v>
      </c>
      <c r="F1" s="6" t="s">
        <v>1</v>
      </c>
      <c r="G1" s="6" t="s">
        <v>23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25">
      <c r="A2" s="13"/>
      <c r="B2" s="7" t="s">
        <v>25</v>
      </c>
      <c r="C2" s="12">
        <v>0</v>
      </c>
      <c r="D2" s="12">
        <v>8.0000000000000002E-3</v>
      </c>
      <c r="E2" s="12">
        <v>4.2999999999999997E-2</v>
      </c>
      <c r="F2" s="12">
        <v>3.4000000000000002E-2</v>
      </c>
      <c r="G2" s="12">
        <v>4.7E-2</v>
      </c>
      <c r="H2" s="12">
        <v>0.42599999999999999</v>
      </c>
      <c r="I2" s="12">
        <v>38.799999999999997</v>
      </c>
      <c r="J2" s="12">
        <v>224.05</v>
      </c>
      <c r="K2" s="12">
        <v>269.68900000000002</v>
      </c>
      <c r="L2" s="12">
        <v>274.61599999999999</v>
      </c>
      <c r="M2" s="12">
        <v>277.97800000000001</v>
      </c>
      <c r="N2" s="12">
        <v>278.25099999999998</v>
      </c>
      <c r="O2" s="12">
        <v>273.61599999999999</v>
      </c>
      <c r="P2" s="12">
        <v>273.339</v>
      </c>
      <c r="Q2" s="12">
        <v>272.74299999999999</v>
      </c>
      <c r="R2" s="12">
        <v>271.84800000000001</v>
      </c>
      <c r="S2" s="12">
        <v>257.358</v>
      </c>
      <c r="T2" s="12">
        <v>243.08600000000001</v>
      </c>
      <c r="U2" s="12">
        <v>243.08600000000001</v>
      </c>
      <c r="V2" s="12">
        <v>192.56</v>
      </c>
      <c r="W2" s="12">
        <v>5.0179999999999998</v>
      </c>
      <c r="X2" s="12">
        <v>0</v>
      </c>
      <c r="Y2" s="12">
        <v>0</v>
      </c>
      <c r="Z2" s="12">
        <v>0</v>
      </c>
    </row>
    <row r="3" spans="1:26" x14ac:dyDescent="0.25">
      <c r="A3" s="13"/>
      <c r="B3" s="7" t="s">
        <v>26</v>
      </c>
      <c r="C3" s="12">
        <v>0</v>
      </c>
      <c r="D3" s="12">
        <v>2.173913043478261E-5</v>
      </c>
      <c r="E3" s="12">
        <v>1.1684782608695652E-4</v>
      </c>
      <c r="F3" s="12">
        <v>9.2391304347826092E-5</v>
      </c>
      <c r="G3" s="12">
        <v>1.2771739130434782E-4</v>
      </c>
      <c r="H3" s="12">
        <v>1.4836956521739131E-3</v>
      </c>
      <c r="I3" s="12">
        <v>4.4836168478260845</v>
      </c>
      <c r="J3" s="12">
        <v>83.751442934782631</v>
      </c>
      <c r="K3" s="12">
        <v>172.57914402173915</v>
      </c>
      <c r="L3" s="12">
        <v>203.61403804347839</v>
      </c>
      <c r="M3" s="12">
        <v>211.70501630434791</v>
      </c>
      <c r="N3" s="12">
        <v>214.83159510869581</v>
      </c>
      <c r="O3" s="12">
        <v>212.03977717391302</v>
      </c>
      <c r="P3" s="12">
        <v>205.66008423913044</v>
      </c>
      <c r="Q3" s="12">
        <v>194.70924184782618</v>
      </c>
      <c r="R3" s="12">
        <v>171.66698097826102</v>
      </c>
      <c r="S3" s="12">
        <v>140.41743750000012</v>
      </c>
      <c r="T3" s="12">
        <v>77.504065217391343</v>
      </c>
      <c r="U3" s="12">
        <v>8.6583532608695695</v>
      </c>
      <c r="V3" s="12">
        <v>0.67215217391304338</v>
      </c>
      <c r="W3" s="12">
        <v>1.363586956521739E-2</v>
      </c>
      <c r="X3" s="12">
        <v>0</v>
      </c>
      <c r="Y3" s="12">
        <v>0</v>
      </c>
      <c r="Z3" s="12">
        <v>0</v>
      </c>
    </row>
    <row r="4" spans="1:26" x14ac:dyDescent="0.25">
      <c r="A4" s="13"/>
      <c r="B4" s="7" t="s">
        <v>27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</row>
    <row r="6" spans="1:26" x14ac:dyDescent="0.25">
      <c r="A6" s="14" t="s">
        <v>30</v>
      </c>
      <c r="C6" s="6" t="s">
        <v>24</v>
      </c>
      <c r="D6" s="6" t="s">
        <v>21</v>
      </c>
      <c r="E6" s="6" t="s">
        <v>22</v>
      </c>
      <c r="F6" s="6" t="s">
        <v>1</v>
      </c>
      <c r="G6" s="6" t="s">
        <v>23</v>
      </c>
      <c r="H6" s="6" t="s">
        <v>2</v>
      </c>
      <c r="I6" s="6" t="s">
        <v>3</v>
      </c>
      <c r="J6" s="6" t="s">
        <v>4</v>
      </c>
      <c r="K6" s="6" t="s">
        <v>5</v>
      </c>
      <c r="L6" s="6" t="s">
        <v>6</v>
      </c>
      <c r="M6" s="6" t="s">
        <v>7</v>
      </c>
      <c r="N6" s="6" t="s">
        <v>8</v>
      </c>
      <c r="O6" s="6" t="s">
        <v>9</v>
      </c>
      <c r="P6" s="6" t="s">
        <v>10</v>
      </c>
      <c r="Q6" s="6" t="s">
        <v>11</v>
      </c>
      <c r="R6" s="6" t="s">
        <v>12</v>
      </c>
      <c r="S6" s="6" t="s">
        <v>13</v>
      </c>
      <c r="T6" s="6" t="s">
        <v>14</v>
      </c>
      <c r="U6" s="6" t="s">
        <v>15</v>
      </c>
      <c r="V6" s="6" t="s">
        <v>16</v>
      </c>
      <c r="W6" s="6" t="s">
        <v>17</v>
      </c>
      <c r="X6" s="6" t="s">
        <v>18</v>
      </c>
      <c r="Y6" s="6" t="s">
        <v>19</v>
      </c>
      <c r="Z6" s="6" t="s">
        <v>20</v>
      </c>
    </row>
    <row r="7" spans="1:26" x14ac:dyDescent="0.25">
      <c r="A7" s="14"/>
      <c r="B7" s="7" t="s">
        <v>25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20.690999999999999</v>
      </c>
      <c r="J7" s="12">
        <v>95.106999999999999</v>
      </c>
      <c r="K7" s="12">
        <v>120.101</v>
      </c>
      <c r="L7" s="12">
        <v>123.283</v>
      </c>
      <c r="M7" s="12">
        <v>124.27800000000001</v>
      </c>
      <c r="N7" s="12">
        <v>125.746</v>
      </c>
      <c r="O7" s="12">
        <v>127.03100000000001</v>
      </c>
      <c r="P7" s="12">
        <v>127.621</v>
      </c>
      <c r="Q7" s="12">
        <v>127.154</v>
      </c>
      <c r="R7" s="12">
        <v>123.30200000000001</v>
      </c>
      <c r="S7" s="12">
        <v>116.18899999999999</v>
      </c>
      <c r="T7" s="12">
        <v>107.46599999999999</v>
      </c>
      <c r="U7" s="12">
        <v>97.736999999999995</v>
      </c>
      <c r="V7" s="12">
        <v>97.736999999999995</v>
      </c>
      <c r="W7" s="12">
        <v>97.736999999999995</v>
      </c>
      <c r="X7" s="12">
        <v>97.736999999999995</v>
      </c>
      <c r="Y7" s="12">
        <v>97.736999999999995</v>
      </c>
      <c r="Z7" s="12">
        <v>50.811</v>
      </c>
    </row>
    <row r="8" spans="1:26" x14ac:dyDescent="0.25">
      <c r="A8" s="14"/>
      <c r="B8" s="7" t="s">
        <v>26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2.4434120532585859</v>
      </c>
      <c r="J8" s="12">
        <v>36.736372109320193</v>
      </c>
      <c r="K8" s="12">
        <v>66.591674141555799</v>
      </c>
      <c r="L8" s="12">
        <v>78.403440084092466</v>
      </c>
      <c r="M8" s="12">
        <v>85.986980378416206</v>
      </c>
      <c r="N8" s="12">
        <v>90.574459705676333</v>
      </c>
      <c r="O8" s="12">
        <v>90.907834618079789</v>
      </c>
      <c r="P8" s="12">
        <v>88.191355991590697</v>
      </c>
      <c r="Q8" s="12">
        <v>82.551941836019637</v>
      </c>
      <c r="R8" s="12">
        <v>72.206658023826222</v>
      </c>
      <c r="S8" s="12">
        <v>58.730887876664347</v>
      </c>
      <c r="T8" s="12">
        <v>33.665210231254441</v>
      </c>
      <c r="U8" s="12">
        <v>3.600223545900485</v>
      </c>
      <c r="V8" s="12">
        <v>0.30525227750525569</v>
      </c>
      <c r="W8" s="12">
        <v>0.13607358093903293</v>
      </c>
      <c r="X8" s="12">
        <v>0.1279705676243868</v>
      </c>
      <c r="Y8" s="12">
        <v>6.8491240364400838E-2</v>
      </c>
      <c r="Z8" s="12">
        <v>3.5606867554309737E-2</v>
      </c>
    </row>
    <row r="9" spans="1:26" x14ac:dyDescent="0.25">
      <c r="A9" s="14"/>
      <c r="B9" s="7" t="s">
        <v>27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</row>
    <row r="11" spans="1:26" x14ac:dyDescent="0.25">
      <c r="A11" s="14" t="s">
        <v>31</v>
      </c>
      <c r="C11" s="6" t="s">
        <v>24</v>
      </c>
      <c r="D11" s="6" t="s">
        <v>21</v>
      </c>
      <c r="E11" s="6" t="s">
        <v>22</v>
      </c>
      <c r="F11" s="6" t="s">
        <v>1</v>
      </c>
      <c r="G11" s="6" t="s">
        <v>23</v>
      </c>
      <c r="H11" s="6" t="s">
        <v>2</v>
      </c>
      <c r="I11" s="6" t="s">
        <v>3</v>
      </c>
      <c r="J11" s="6" t="s">
        <v>4</v>
      </c>
      <c r="K11" s="6" t="s">
        <v>5</v>
      </c>
      <c r="L11" s="6" t="s">
        <v>6</v>
      </c>
      <c r="M11" s="6" t="s">
        <v>7</v>
      </c>
      <c r="N11" s="6" t="s">
        <v>8</v>
      </c>
      <c r="O11" s="6" t="s">
        <v>9</v>
      </c>
      <c r="P11" s="6" t="s">
        <v>10</v>
      </c>
      <c r="Q11" s="6" t="s">
        <v>11</v>
      </c>
      <c r="R11" s="6" t="s">
        <v>12</v>
      </c>
      <c r="S11" s="6" t="s">
        <v>13</v>
      </c>
      <c r="T11" s="6" t="s">
        <v>14</v>
      </c>
      <c r="U11" s="6" t="s">
        <v>15</v>
      </c>
      <c r="V11" s="6" t="s">
        <v>16</v>
      </c>
      <c r="W11" s="6" t="s">
        <v>17</v>
      </c>
      <c r="X11" s="6" t="s">
        <v>18</v>
      </c>
      <c r="Y11" s="6" t="s">
        <v>19</v>
      </c>
      <c r="Z11" s="6" t="s">
        <v>20</v>
      </c>
    </row>
    <row r="12" spans="1:26" x14ac:dyDescent="0.25">
      <c r="A12" s="14"/>
      <c r="B12" s="7" t="s">
        <v>25</v>
      </c>
      <c r="C12" s="12">
        <v>7.0000000000000007E-2</v>
      </c>
      <c r="D12" s="12">
        <v>7.0000000000000007E-2</v>
      </c>
      <c r="E12" s="12">
        <v>7.0000000000000007E-2</v>
      </c>
      <c r="F12" s="12">
        <v>7.0000000000000007E-2</v>
      </c>
      <c r="G12" s="12">
        <v>7.0000000000000007E-2</v>
      </c>
      <c r="H12" s="12">
        <v>7.0000000000000007E-2</v>
      </c>
      <c r="I12" s="12">
        <v>2.6379999999999999</v>
      </c>
      <c r="J12" s="12">
        <v>64.001000000000005</v>
      </c>
      <c r="K12" s="12">
        <v>153.82599999999999</v>
      </c>
      <c r="L12" s="12">
        <v>180.67400000000001</v>
      </c>
      <c r="M12" s="12">
        <v>182</v>
      </c>
      <c r="N12" s="12">
        <v>179.471</v>
      </c>
      <c r="O12" s="12">
        <v>180.238</v>
      </c>
      <c r="P12" s="12">
        <v>180</v>
      </c>
      <c r="Q12" s="12">
        <v>177.54599999999999</v>
      </c>
      <c r="R12" s="12">
        <v>177.88300000000001</v>
      </c>
      <c r="S12" s="12">
        <v>171</v>
      </c>
      <c r="T12" s="12">
        <v>171</v>
      </c>
      <c r="U12" s="12">
        <v>65.72</v>
      </c>
      <c r="V12" s="12">
        <v>60</v>
      </c>
      <c r="W12" s="12">
        <v>11.31</v>
      </c>
      <c r="X12" s="12">
        <v>4.7679999999999998</v>
      </c>
      <c r="Y12" s="12">
        <v>7.0000000000000007E-2</v>
      </c>
      <c r="Z12" s="12">
        <v>7.0000000000000007E-2</v>
      </c>
    </row>
    <row r="13" spans="1:26" x14ac:dyDescent="0.25">
      <c r="A13" s="14"/>
      <c r="B13" s="7" t="s">
        <v>26</v>
      </c>
      <c r="C13" s="12">
        <v>7.1428571428571439E-4</v>
      </c>
      <c r="D13" s="12">
        <v>7.1428571428571439E-4</v>
      </c>
      <c r="E13" s="12">
        <v>7.1428571428571439E-4</v>
      </c>
      <c r="F13" s="12">
        <v>7.1428571428571439E-4</v>
      </c>
      <c r="G13" s="12">
        <v>7.1428571428571439E-4</v>
      </c>
      <c r="H13" s="12">
        <v>7.1428571428571439E-4</v>
      </c>
      <c r="I13" s="12">
        <v>0.35989795918367345</v>
      </c>
      <c r="J13" s="12">
        <v>24.33473469387755</v>
      </c>
      <c r="K13" s="12">
        <v>74.125295918367357</v>
      </c>
      <c r="L13" s="12">
        <v>100.17742857142859</v>
      </c>
      <c r="M13" s="12">
        <v>108.43014285714283</v>
      </c>
      <c r="N13" s="12">
        <v>110.39964285714282</v>
      </c>
      <c r="O13" s="12">
        <v>112.65803061224493</v>
      </c>
      <c r="P13" s="12">
        <v>111.64943877551013</v>
      </c>
      <c r="Q13" s="12">
        <v>108.76319387755103</v>
      </c>
      <c r="R13" s="12">
        <v>106.22328571428568</v>
      </c>
      <c r="S13" s="12">
        <v>98.86416326530609</v>
      </c>
      <c r="T13" s="12">
        <v>57.054989795918367</v>
      </c>
      <c r="U13" s="12">
        <v>8.4773775510204121</v>
      </c>
      <c r="V13" s="12">
        <v>1.0650612244897963</v>
      </c>
      <c r="W13" s="12">
        <v>0.1751326530612245</v>
      </c>
      <c r="X13" s="12">
        <v>4.9367346938775508E-2</v>
      </c>
      <c r="Y13" s="12">
        <v>7.1428571428571439E-4</v>
      </c>
      <c r="Z13" s="12">
        <v>7.1428571428571439E-4</v>
      </c>
    </row>
    <row r="14" spans="1:26" x14ac:dyDescent="0.25">
      <c r="A14" s="14"/>
      <c r="B14" s="7" t="s">
        <v>27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</row>
    <row r="16" spans="1:26" x14ac:dyDescent="0.25">
      <c r="A16" s="14" t="s">
        <v>32</v>
      </c>
      <c r="C16" s="6" t="s">
        <v>24</v>
      </c>
      <c r="D16" s="6" t="s">
        <v>21</v>
      </c>
      <c r="E16" s="6" t="s">
        <v>22</v>
      </c>
      <c r="F16" s="6" t="s">
        <v>1</v>
      </c>
      <c r="G16" s="6" t="s">
        <v>23</v>
      </c>
      <c r="H16" s="6" t="s">
        <v>2</v>
      </c>
      <c r="I16" s="6" t="s">
        <v>3</v>
      </c>
      <c r="J16" s="6" t="s">
        <v>4</v>
      </c>
      <c r="K16" s="6" t="s">
        <v>5</v>
      </c>
      <c r="L16" s="6" t="s">
        <v>6</v>
      </c>
      <c r="M16" s="6" t="s">
        <v>7</v>
      </c>
      <c r="N16" s="6" t="s">
        <v>8</v>
      </c>
      <c r="O16" s="6" t="s">
        <v>9</v>
      </c>
      <c r="P16" s="6" t="s">
        <v>10</v>
      </c>
      <c r="Q16" s="6" t="s">
        <v>11</v>
      </c>
      <c r="R16" s="6" t="s">
        <v>12</v>
      </c>
      <c r="S16" s="6" t="s">
        <v>13</v>
      </c>
      <c r="T16" s="6" t="s">
        <v>14</v>
      </c>
      <c r="U16" s="6" t="s">
        <v>15</v>
      </c>
      <c r="V16" s="6" t="s">
        <v>16</v>
      </c>
      <c r="W16" s="6" t="s">
        <v>17</v>
      </c>
      <c r="X16" s="6" t="s">
        <v>18</v>
      </c>
      <c r="Y16" s="6" t="s">
        <v>19</v>
      </c>
      <c r="Z16" s="6" t="s">
        <v>20</v>
      </c>
    </row>
    <row r="17" spans="1:26" x14ac:dyDescent="0.25">
      <c r="A17" s="14"/>
      <c r="B17" s="7" t="s">
        <v>25</v>
      </c>
      <c r="C17" s="8">
        <v>2E-3</v>
      </c>
      <c r="D17" s="8">
        <v>0.60399999999999998</v>
      </c>
      <c r="E17" s="8">
        <v>0.17599999999999999</v>
      </c>
      <c r="F17" s="8">
        <v>0.27800000000000002</v>
      </c>
      <c r="G17" s="8">
        <v>0.51400000000000001</v>
      </c>
      <c r="H17" s="8">
        <v>4.3999999999999997E-2</v>
      </c>
      <c r="I17" s="8">
        <v>5.8220000000000001</v>
      </c>
      <c r="J17" s="8">
        <v>34.591999999999999</v>
      </c>
      <c r="K17" s="8">
        <v>57.674999999999997</v>
      </c>
      <c r="L17" s="8">
        <v>63.052</v>
      </c>
      <c r="M17" s="8">
        <v>66.668000000000006</v>
      </c>
      <c r="N17" s="8">
        <v>67.114999999999995</v>
      </c>
      <c r="O17" s="8">
        <v>69.391999999999996</v>
      </c>
      <c r="P17" s="8">
        <v>68.929000000000002</v>
      </c>
      <c r="Q17" s="8">
        <v>67.335999999999999</v>
      </c>
      <c r="R17" s="8">
        <v>67.953000000000003</v>
      </c>
      <c r="S17" s="8">
        <v>61.982999999999997</v>
      </c>
      <c r="T17" s="8">
        <v>43.185000000000002</v>
      </c>
      <c r="U17" s="8">
        <v>40.575000000000003</v>
      </c>
      <c r="V17" s="8">
        <v>40.575000000000003</v>
      </c>
      <c r="W17" s="8">
        <v>40.575000000000003</v>
      </c>
      <c r="X17" s="8">
        <v>40.575000000000003</v>
      </c>
      <c r="Y17" s="8">
        <v>38.158999999999999</v>
      </c>
      <c r="Z17" s="8">
        <v>6.242</v>
      </c>
    </row>
    <row r="18" spans="1:26" x14ac:dyDescent="0.25">
      <c r="A18" s="14"/>
      <c r="B18" s="7" t="s">
        <v>26</v>
      </c>
      <c r="C18" s="8">
        <v>2.247191011235955E-6</v>
      </c>
      <c r="D18" s="8">
        <v>4.5393258426966291E-4</v>
      </c>
      <c r="E18" s="8">
        <v>1.3333333333333334E-4</v>
      </c>
      <c r="F18" s="8">
        <v>2.0973782771535582E-4</v>
      </c>
      <c r="G18" s="8">
        <v>3.8651685393258425E-4</v>
      </c>
      <c r="H18" s="8">
        <v>3.4456928838951313E-5</v>
      </c>
      <c r="I18" s="8">
        <v>0.48638352059925127</v>
      </c>
      <c r="J18" s="8">
        <v>10.851662921348304</v>
      </c>
      <c r="K18" s="8">
        <v>28.098638202247233</v>
      </c>
      <c r="L18" s="8">
        <v>36.659513857677879</v>
      </c>
      <c r="M18" s="8">
        <v>42.381698876404457</v>
      </c>
      <c r="N18" s="8">
        <v>46.248543071161087</v>
      </c>
      <c r="O18" s="8">
        <v>48.979486891385818</v>
      </c>
      <c r="P18" s="8">
        <v>49.898071910112471</v>
      </c>
      <c r="Q18" s="8">
        <v>49.883933333333374</v>
      </c>
      <c r="R18" s="8">
        <v>47.33109513108613</v>
      </c>
      <c r="S18" s="8">
        <v>40.173738576779037</v>
      </c>
      <c r="T18" s="8">
        <v>19.333581273408221</v>
      </c>
      <c r="U18" s="8">
        <v>1.162482397003745</v>
      </c>
      <c r="V18" s="8">
        <v>3.0393258426966295E-2</v>
      </c>
      <c r="W18" s="8">
        <v>3.0393258426966295E-2</v>
      </c>
      <c r="X18" s="8">
        <v>3.0393258426966295E-2</v>
      </c>
      <c r="Y18" s="8">
        <v>2.858651685393258E-2</v>
      </c>
      <c r="Z18" s="8">
        <v>4.6823970037453179E-3</v>
      </c>
    </row>
    <row r="19" spans="1:26" x14ac:dyDescent="0.25">
      <c r="A19" s="14"/>
      <c r="B19" s="7" t="s">
        <v>27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</sheetData>
  <mergeCells count="4">
    <mergeCell ref="A1:A4"/>
    <mergeCell ref="A6:A9"/>
    <mergeCell ref="A11:A14"/>
    <mergeCell ref="A16:A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Plot</vt:lpstr>
      <vt:lpstr>Usinas 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2026-03-03T00:52:06Z</dcterms:modified>
</cp:coreProperties>
</file>